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7" autoFilterDateGrouping="1"/>
  </bookViews>
  <sheets>
    <sheet xmlns:r="http://schemas.openxmlformats.org/officeDocument/2006/relationships" name="Összefoglaló" sheetId="1" state="visible" r:id="rId1"/>
    <sheet xmlns:r="http://schemas.openxmlformats.org/officeDocument/2006/relationships" name="Közös Alaptanterv (AI fókusz)" sheetId="2" state="visible" r:id="rId2"/>
    <sheet xmlns:r="http://schemas.openxmlformats.org/officeDocument/2006/relationships" name="Rendszerszervező" sheetId="3" state="visible" r:id="rId3"/>
    <sheet xmlns:r="http://schemas.openxmlformats.org/officeDocument/2006/relationships" name="IT SLA Management &amp; Risk" sheetId="4" state="visible" r:id="rId4"/>
    <sheet xmlns:r="http://schemas.openxmlformats.org/officeDocument/2006/relationships" name="Agile – PO - Scrum - PM" sheetId="5" state="visible" r:id="rId5"/>
    <sheet xmlns:r="http://schemas.openxmlformats.org/officeDocument/2006/relationships" name="Tesztkoordináció &amp; Tesztelés" sheetId="6" state="visible" r:id="rId6"/>
    <sheet xmlns:r="http://schemas.openxmlformats.org/officeDocument/2006/relationships" name="Projektmenedzsment" sheetId="7" state="visible" r:id="rId7"/>
    <sheet xmlns:r="http://schemas.openxmlformats.org/officeDocument/2006/relationships" name="Solution Architect" sheetId="8" state="visible" r:id="rId8"/>
    <sheet xmlns:r="http://schemas.openxmlformats.org/officeDocument/2006/relationships" name="Data Engineer &amp; Analytics" sheetId="9" state="visible" r:id="rId9"/>
    <sheet xmlns:r="http://schemas.openxmlformats.org/officeDocument/2006/relationships" name="Cybersecurity Specialist" sheetId="10" state="visible" r:id="rId10"/>
    <sheet xmlns:r="http://schemas.openxmlformats.org/officeDocument/2006/relationships" name="Platform Engineer - DevOps" sheetId="11" state="visible" r:id="rId11"/>
    <sheet xmlns:r="http://schemas.openxmlformats.org/officeDocument/2006/relationships" name="AI-ML Engineer" sheetId="12" state="visible" r:id="rId12"/>
    <sheet xmlns:r="http://schemas.openxmlformats.org/officeDocument/2006/relationships" name="Low-code - Citizen Developer" sheetId="13" state="visible" r:id="rId13"/>
    <sheet xmlns:r="http://schemas.openxmlformats.org/officeDocument/2006/relationships" name="Költségvetés összesítő" sheetId="14" state="visible" r:id="rId14"/>
    <sheet xmlns:r="http://schemas.openxmlformats.org/officeDocument/2006/relationships" name="Ütemterv" sheetId="15" state="visible" r:id="rId15"/>
    <sheet xmlns:r="http://schemas.openxmlformats.org/officeDocument/2006/relationships" name="Képzőhelyek katalógus" sheetId="16" state="visible" r:id="rId16"/>
  </sheets>
  <definedNames>
    <definedName name="_xlnm._FilterDatabase" localSheetId="2" hidden="1">'Rendszerszervező'!$A$3:$H$3</definedName>
    <definedName name="_xlnm._FilterDatabase" localSheetId="3" hidden="1">'IT SLA Management &amp; Risk'!$A$3:$H$3</definedName>
    <definedName name="_xlnm._FilterDatabase" localSheetId="4" hidden="1">'Agile – PO - Scrum - PM'!$A$3:$H$3</definedName>
    <definedName name="_xlnm._FilterDatabase" localSheetId="5" hidden="1">'Tesztkoordináció &amp; Tesztelés'!$A$3:$H$3</definedName>
    <definedName name="_xlnm._FilterDatabase" localSheetId="6" hidden="1">'Projektmenedzsment'!$A$3:$H$3</definedName>
    <definedName name="_xlnm._FilterDatabase" localSheetId="7" hidden="1">'Solution Architect'!$A$3:$H$3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FFFFFF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b val="1"/>
      <color rgb="FFFFFFFF"/>
      <sz val="14"/>
    </font>
    <font>
      <name val="Calibri"/>
      <i val="1"/>
      <color rgb="FF000000"/>
      <sz val="10"/>
    </font>
    <font>
      <name val="Calibri"/>
      <b val="1"/>
      <color rgb="FF000000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sz val="10"/>
    </font>
    <font>
      <name val="Calibri"/>
      <b val="1"/>
      <i val="1"/>
      <sz val="10"/>
    </font>
    <font>
      <name val="Calibri"/>
      <sz val="1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sz val="9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12"/>
    </font>
  </fonts>
  <fills count="3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404040"/>
      </patternFill>
    </fill>
    <fill>
      <patternFill patternType="solid">
        <fgColor rgb="FFAED6F1"/>
      </patternFill>
    </fill>
    <fill>
      <patternFill patternType="solid">
        <fgColor rgb="FFFFD966"/>
      </patternFill>
    </fill>
    <fill>
      <patternFill patternType="solid">
        <fgColor rgb="FFA9DFB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55A11"/>
      </patternFill>
    </fill>
    <fill>
      <patternFill patternType="solid">
        <fgColor rgb="FFFDE9D9"/>
      </patternFill>
    </fill>
    <fill>
      <patternFill patternType="solid">
        <fgColor rgb="FFFDEBD0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3864"/>
        <bgColor rgb="FF1F3864"/>
      </patternFill>
    </fill>
    <fill>
      <patternFill patternType="solid">
        <fgColor rgb="FFAED6F1"/>
        <bgColor rgb="FFAED6F1"/>
      </patternFill>
    </fill>
    <fill>
      <patternFill patternType="solid">
        <fgColor rgb="FFFFD966"/>
        <bgColor rgb="FFFFD966"/>
      </patternFill>
    </fill>
    <fill>
      <patternFill patternType="solid">
        <fgColor rgb="FFA9DFBF"/>
        <bgColor rgb="FFA9DFBF"/>
      </patternFill>
    </fill>
    <fill>
      <patternFill patternType="solid">
        <fgColor rgb="FFFDE9D9"/>
        <bgColor rgb="FFFDE9D9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C55A11"/>
        <bgColor rgb="FFC55A11"/>
      </patternFill>
    </fill>
    <fill>
      <patternFill patternType="solid">
        <fgColor rgb="FFB4C6E7"/>
        <bgColor rgb="FFB4C6E7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404040"/>
        <bgColor rgb="FF404040"/>
      </patternFill>
    </fill>
  </fills>
  <borders count="16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left" vertical="center" wrapText="1"/>
    </xf>
    <xf numFmtId="0" fontId="4" fillId="15" borderId="2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10" borderId="0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 vertical="center" wrapText="1"/>
    </xf>
    <xf numFmtId="0" fontId="6" fillId="12" borderId="11" applyAlignment="1" pivotButton="0" quotePrefix="0" xfId="0">
      <alignment horizontal="center" vertical="center" wrapText="1"/>
    </xf>
    <xf numFmtId="0" fontId="8" fillId="16" borderId="11" applyAlignment="1" pivotButton="0" quotePrefix="0" xfId="0">
      <alignment horizontal="center" vertical="center" wrapText="1"/>
    </xf>
    <xf numFmtId="0" fontId="10" fillId="20" borderId="11" applyAlignment="1" pivotButton="0" quotePrefix="0" xfId="0">
      <alignment horizontal="left" vertical="center" wrapText="1"/>
    </xf>
    <xf numFmtId="3" fontId="10" fillId="20" borderId="11" applyAlignment="1" pivotButton="0" quotePrefix="0" xfId="0">
      <alignment horizontal="left" vertical="center" wrapText="1"/>
    </xf>
    <xf numFmtId="3" fontId="11" fillId="20" borderId="11" applyAlignment="1" pivotButton="0" quotePrefix="0" xfId="0">
      <alignment horizontal="left" vertical="center" wrapText="1"/>
    </xf>
    <xf numFmtId="0" fontId="5" fillId="2" borderId="11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0" fontId="12" fillId="21" borderId="11" applyAlignment="1" pivotButton="0" quotePrefix="0" xfId="0">
      <alignment horizontal="left" vertical="center" wrapText="1"/>
    </xf>
    <xf numFmtId="3" fontId="12" fillId="21" borderId="11" applyAlignment="1" pivotButton="0" quotePrefix="0" xfId="0">
      <alignment horizontal="left" vertical="center" wrapText="1"/>
    </xf>
    <xf numFmtId="3" fontId="13" fillId="21" borderId="11" applyAlignment="1" pivotButton="0" quotePrefix="0" xfId="0">
      <alignment horizontal="left" vertical="center" wrapText="1"/>
    </xf>
    <xf numFmtId="0" fontId="12" fillId="22" borderId="11" applyAlignment="1" pivotButton="0" quotePrefix="0" xfId="0">
      <alignment horizontal="left" vertical="center" wrapText="1"/>
    </xf>
    <xf numFmtId="3" fontId="12" fillId="22" borderId="11" applyAlignment="1" pivotButton="0" quotePrefix="0" xfId="0">
      <alignment horizontal="left" vertical="center" wrapText="1"/>
    </xf>
    <xf numFmtId="3" fontId="13" fillId="22" borderId="11" applyAlignment="1" pivotButton="0" quotePrefix="0" xfId="0">
      <alignment horizontal="left" vertical="center" wrapText="1"/>
    </xf>
    <xf numFmtId="0" fontId="12" fillId="23" borderId="11" applyAlignment="1" pivotButton="0" quotePrefix="0" xfId="0">
      <alignment horizontal="left" vertical="center" wrapText="1"/>
    </xf>
    <xf numFmtId="3" fontId="12" fillId="23" borderId="11" applyAlignment="1" pivotButton="0" quotePrefix="0" xfId="0">
      <alignment horizontal="left" vertical="center" wrapText="1"/>
    </xf>
    <xf numFmtId="3" fontId="13" fillId="23" borderId="11" applyAlignment="1" pivotButton="0" quotePrefix="0" xfId="0">
      <alignment horizontal="left" vertical="center" wrapText="1"/>
    </xf>
    <xf numFmtId="0" fontId="8" fillId="24" borderId="11" applyAlignment="1" pivotButton="0" quotePrefix="0" xfId="0">
      <alignment horizontal="center" vertical="center" wrapText="1"/>
    </xf>
    <xf numFmtId="0" fontId="0" fillId="24" borderId="11" pivotButton="0" quotePrefix="0" xfId="0"/>
    <xf numFmtId="0" fontId="10" fillId="20" borderId="11" applyAlignment="1" pivotButton="0" quotePrefix="0" xfId="0">
      <alignment horizontal="center" vertical="center" wrapText="1"/>
    </xf>
    <xf numFmtId="0" fontId="0" fillId="25" borderId="11" pivotButton="0" quotePrefix="0" xfId="0"/>
    <xf numFmtId="0" fontId="14" fillId="25" borderId="11" applyAlignment="1" pivotButton="0" quotePrefix="0" xfId="0">
      <alignment horizontal="left" vertical="center" wrapText="1"/>
    </xf>
    <xf numFmtId="3" fontId="14" fillId="25" borderId="11" applyAlignment="1" pivotButton="0" quotePrefix="0" xfId="0">
      <alignment horizontal="left" vertical="center" wrapText="1"/>
    </xf>
    <xf numFmtId="0" fontId="0" fillId="26" borderId="11" pivotButton="0" quotePrefix="0" xfId="0"/>
    <xf numFmtId="0" fontId="14" fillId="26" borderId="11" applyAlignment="1" pivotButton="0" quotePrefix="0" xfId="0">
      <alignment horizontal="left" vertical="center" wrapText="1"/>
    </xf>
    <xf numFmtId="3" fontId="14" fillId="26" borderId="11" applyAlignment="1" pivotButton="0" quotePrefix="0" xfId="0">
      <alignment horizontal="left" vertical="center" wrapText="1"/>
    </xf>
    <xf numFmtId="0" fontId="0" fillId="27" borderId="11" pivotButton="0" quotePrefix="0" xfId="0"/>
    <xf numFmtId="0" fontId="14" fillId="27" borderId="11" applyAlignment="1" pivotButton="0" quotePrefix="0" xfId="0">
      <alignment horizontal="left" vertical="center" wrapText="1"/>
    </xf>
    <xf numFmtId="3" fontId="14" fillId="27" borderId="11" applyAlignment="1" pivotButton="0" quotePrefix="0" xfId="0">
      <alignment horizontal="left" vertical="center" wrapText="1"/>
    </xf>
    <xf numFmtId="0" fontId="0" fillId="16" borderId="11" pivotButton="0" quotePrefix="0" xfId="0"/>
    <xf numFmtId="0" fontId="15" fillId="16" borderId="11" applyAlignment="1" pivotButton="0" quotePrefix="0" xfId="0">
      <alignment horizontal="left" vertical="center" wrapText="1"/>
    </xf>
    <xf numFmtId="3" fontId="15" fillId="16" borderId="11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16" fillId="16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8" borderId="11" applyAlignment="1" pivotButton="0" quotePrefix="0" xfId="0">
      <alignment horizontal="center" vertical="center" wrapText="1"/>
    </xf>
    <xf numFmtId="0" fontId="9" fillId="17" borderId="11" applyAlignment="1" pivotButton="0" quotePrefix="0" xfId="0">
      <alignment horizontal="center" vertical="center" wrapText="1"/>
    </xf>
    <xf numFmtId="0" fontId="0" fillId="17" borderId="11" pivotButton="0" quotePrefix="0" xfId="0"/>
    <xf numFmtId="0" fontId="12" fillId="21" borderId="11" applyAlignment="1" pivotButton="0" quotePrefix="0" xfId="0">
      <alignment horizontal="center" vertical="center" wrapText="1"/>
    </xf>
    <xf numFmtId="0" fontId="9" fillId="18" borderId="11" applyAlignment="1" pivotButton="0" quotePrefix="0" xfId="0">
      <alignment horizontal="center" vertical="center" wrapText="1"/>
    </xf>
    <xf numFmtId="0" fontId="0" fillId="18" borderId="11" pivotButton="0" quotePrefix="0" xfId="0"/>
    <xf numFmtId="0" fontId="12" fillId="22" borderId="11" applyAlignment="1" pivotButton="0" quotePrefix="0" xfId="0">
      <alignment horizontal="center" vertical="center" wrapText="1"/>
    </xf>
    <xf numFmtId="0" fontId="9" fillId="19" borderId="11" applyAlignment="1" pivotButton="0" quotePrefix="0" xfId="0">
      <alignment horizontal="center" vertical="center" wrapText="1"/>
    </xf>
    <xf numFmtId="0" fontId="0" fillId="19" borderId="11" pivotButton="0" quotePrefix="0" xfId="0"/>
    <xf numFmtId="0" fontId="12" fillId="23" borderId="11" applyAlignment="1" pivotButton="0" quotePrefix="0" xfId="0">
      <alignment horizontal="center" vertical="center" wrapText="1"/>
    </xf>
    <xf numFmtId="0" fontId="12" fillId="29" borderId="11" applyAlignment="1" pivotButton="0" quotePrefix="0" xfId="0">
      <alignment horizontal="left" vertical="center" wrapText="1"/>
    </xf>
    <xf numFmtId="0" fontId="12" fillId="30" borderId="11" applyAlignment="1" pivotButton="0" quotePrefix="0" xfId="0">
      <alignment horizontal="left" vertical="center" wrapText="1"/>
    </xf>
    <xf numFmtId="0" fontId="21" fillId="34" borderId="11" applyAlignment="1" pivotButton="0" quotePrefix="0" xfId="0">
      <alignment horizontal="center" vertical="center" wrapText="1"/>
    </xf>
    <xf numFmtId="0" fontId="0" fillId="34" borderId="11" pivotButton="0" quotePrefix="0" xfId="0"/>
    <xf numFmtId="0" fontId="15" fillId="16" borderId="11" applyAlignment="1" pivotButton="0" quotePrefix="0" xfId="0">
      <alignment horizontal="center" vertical="center" wrapText="1"/>
    </xf>
    <xf numFmtId="0" fontId="10" fillId="30" borderId="11" applyAlignment="1" pivotButton="0" quotePrefix="0" xfId="0">
      <alignment horizontal="left" vertical="center" wrapText="1"/>
    </xf>
    <xf numFmtId="0" fontId="13" fillId="29" borderId="11" applyAlignment="1" pivotButton="0" quotePrefix="0" xfId="0">
      <alignment horizontal="left" vertical="center" wrapText="1"/>
    </xf>
    <xf numFmtId="3" fontId="12" fillId="29" borderId="11" applyAlignment="1" pivotButton="0" quotePrefix="0" xfId="0">
      <alignment horizontal="left" vertical="center" wrapText="1"/>
    </xf>
    <xf numFmtId="3" fontId="13" fillId="29" borderId="11" applyAlignment="1" pivotButton="0" quotePrefix="0" xfId="0">
      <alignment horizontal="left" vertical="center" wrapText="1"/>
    </xf>
    <xf numFmtId="0" fontId="13" fillId="30" borderId="11" applyAlignment="1" pivotButton="0" quotePrefix="0" xfId="0">
      <alignment horizontal="left" vertical="center" wrapText="1"/>
    </xf>
    <xf numFmtId="3" fontId="12" fillId="30" borderId="11" applyAlignment="1" pivotButton="0" quotePrefix="0" xfId="0">
      <alignment horizontal="left" vertical="center" wrapText="1"/>
    </xf>
    <xf numFmtId="3" fontId="13" fillId="30" borderId="11" applyAlignment="1" pivotButton="0" quotePrefix="0" xfId="0">
      <alignment horizontal="left" vertical="center" wrapText="1"/>
    </xf>
    <xf numFmtId="0" fontId="8" fillId="16" borderId="1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6" fillId="31" borderId="11" applyAlignment="1" pivotButton="0" quotePrefix="0" xfId="0">
      <alignment horizontal="center" vertical="center" wrapText="1"/>
    </xf>
    <xf numFmtId="0" fontId="16" fillId="32" borderId="11" applyAlignment="1" pivotButton="0" quotePrefix="0" xfId="0">
      <alignment horizontal="center" vertical="center" wrapText="1"/>
    </xf>
    <xf numFmtId="0" fontId="16" fillId="33" borderId="1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21" borderId="0" pivotButton="0" quotePrefix="0" xfId="0"/>
    <xf numFmtId="0" fontId="20" fillId="22" borderId="0" pivotButton="0" quotePrefix="0" xfId="0"/>
    <xf numFmtId="0" fontId="20" fillId="23" borderId="0" pivotButton="0" quotePrefix="0" xfId="0"/>
    <xf numFmtId="0" fontId="12" fillId="29" borderId="11" applyAlignment="1" pivotButton="0" quotePrefix="0" xfId="0">
      <alignment horizontal="center" vertical="center" wrapText="1"/>
    </xf>
    <xf numFmtId="0" fontId="12" fillId="30" borderId="1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E7" sqref="E7"/>
    </sheetView>
  </sheetViews>
  <sheetFormatPr baseColWidth="8" defaultRowHeight="14.5"/>
  <cols>
    <col width="46.90625" customWidth="1" style="20" min="1" max="6"/>
  </cols>
  <sheetData>
    <row r="1">
      <c r="A1" s="16" t="inlineStr">
        <is>
          <t>NAGYVÁLLALATI IT BELSŐ SZAKÉRTŐI KÉPZÉSI UTAK</t>
        </is>
      </c>
      <c r="B1" s="17" t="n"/>
      <c r="C1" s="17" t="n"/>
      <c r="D1" s="17" t="n"/>
      <c r="E1" s="17" t="n"/>
      <c r="F1" s="18" t="n"/>
    </row>
    <row r="2">
      <c r="A2" s="13" t="inlineStr">
        <is>
          <t>Verzió: 2.0 (v3)  |  Érvényes: 2025–2026  |  Frissítés: évente  |  Felelős: IT Learning &amp; Development</t>
        </is>
      </c>
      <c r="B2" s="14" t="n"/>
      <c r="C2" s="14" t="n"/>
      <c r="D2" s="14" t="n"/>
      <c r="E2" s="14" t="n"/>
      <c r="F2" s="15" t="n"/>
    </row>
    <row r="3">
      <c r="A3" s="19" t="inlineStr">
        <is>
          <t>SZINTRENDSZER MAGYARÁZATA</t>
        </is>
      </c>
    </row>
    <row r="4">
      <c r="A4" s="1" t="inlineStr">
        <is>
          <t>Szint neve</t>
        </is>
      </c>
      <c r="B4" s="1" t="inlineStr">
        <is>
          <t>Leírás</t>
        </is>
      </c>
      <c r="C4" s="1" t="inlineStr">
        <is>
          <t>Tapasztalat</t>
        </is>
      </c>
      <c r="D4" s="1" t="inlineStr">
        <is>
          <t>Fókusz</t>
        </is>
      </c>
      <c r="E4" s="1" t="inlineStr">
        <is>
          <t>Szín jelölés</t>
        </is>
      </c>
      <c r="F4" s="1" t="inlineStr">
        <is>
          <t>Előrehaladási feltételek</t>
        </is>
      </c>
    </row>
    <row r="5" ht="26" customHeight="1" s="20">
      <c r="A5" s="2" t="inlineStr">
        <is>
          <t>Alapszint (Foundation)</t>
        </is>
      </c>
      <c r="B5" s="2" t="inlineStr">
        <is>
          <t>Belépő szint</t>
        </is>
      </c>
      <c r="C5" s="2" t="inlineStr">
        <is>
          <t>0–1 év tapasztalat</t>
        </is>
      </c>
      <c r="D5" s="2" t="inlineStr">
        <is>
          <t>Kötelező minimum képzések + AI eszközök alapszintű ismerete</t>
        </is>
      </c>
      <c r="E5" s="2" t="inlineStr">
        <is>
          <t>▮ Lásd szín</t>
        </is>
      </c>
      <c r="F5" s="2" t="inlineStr">
        <is>
          <t>Foundation cert megszerzése + 6 hónap tapasztalat + belső AI alaptanfolyam elvégzése</t>
        </is>
      </c>
    </row>
    <row r="6" ht="26" customHeight="1" s="20">
      <c r="A6" s="3" t="inlineStr">
        <is>
          <t>Középszint (Practitioner)</t>
        </is>
      </c>
      <c r="B6" s="3" t="inlineStr">
        <is>
          <t>Fejlesztő szint</t>
        </is>
      </c>
      <c r="C6" s="3" t="inlineStr">
        <is>
          <t>1–3 év tapasztalat</t>
        </is>
      </c>
      <c r="D6" s="3" t="inlineStr">
        <is>
          <t>Szakterületi mélység + AI eszközök integrált, napi szintű alkalmazása</t>
        </is>
      </c>
      <c r="E6" s="3" t="inlineStr">
        <is>
          <t>▮ Lásd szín</t>
        </is>
      </c>
      <c r="F6" s="3" t="inlineStr">
        <is>
          <t>Practitioner cert + 2 lezárt projekt + mentori visszajelzés + AI workflow bemutatása</t>
        </is>
      </c>
    </row>
    <row r="7" ht="26" customHeight="1" s="20">
      <c r="A7" s="4" t="inlineStr">
        <is>
          <t>Haladó szint (Expert/Lead)</t>
        </is>
      </c>
      <c r="B7" s="4" t="inlineStr">
        <is>
          <t>Mester szint</t>
        </is>
      </c>
      <c r="C7" s="4" t="inlineStr">
        <is>
          <t>3+ év tapasztalat</t>
        </is>
      </c>
      <c r="D7" s="4" t="inlineStr">
        <is>
          <t>Szervezeti hatás, mentoring + AI governance és MCP protokoll ismeretek</t>
        </is>
      </c>
      <c r="E7" s="4" t="inlineStr">
        <is>
          <t>▮ Lásd szín</t>
        </is>
      </c>
      <c r="F7" s="4" t="inlineStr">
        <is>
          <t>Expert cert + leadership tapasztalat + tudásátadás + saját AI innováció (POC) bemutatása</t>
        </is>
      </c>
    </row>
    <row r="8">
      <c r="A8" s="19" t="inlineStr">
        <is>
          <t>MUNKAKÖRÖK ÁTTEKINTÉSE</t>
        </is>
      </c>
    </row>
    <row r="9">
      <c r="A9" s="1" t="inlineStr">
        <is>
          <t>Munkakör</t>
        </is>
      </c>
      <c r="B9" s="1" t="inlineStr">
        <is>
          <t>Alcím / Fókusz</t>
        </is>
      </c>
      <c r="C9" s="1" t="inlineStr">
        <is>
          <t>Felelős szint</t>
        </is>
      </c>
      <c r="D9" s="1" t="inlineStr">
        <is>
          <t>Kapcsolódó cert.</t>
        </is>
      </c>
      <c r="E9" s="1" t="inlineStr">
        <is>
          <t>Fő AI eszköz</t>
        </is>
      </c>
      <c r="F9" s="1" t="inlineStr">
        <is>
          <t>Lap neve</t>
        </is>
      </c>
    </row>
    <row r="10">
      <c r="A10" s="5" t="inlineStr">
        <is>
          <t>Rendszerszervező</t>
        </is>
      </c>
      <c r="B10" s="5" t="inlineStr">
        <is>
          <t>Demand Management</t>
        </is>
      </c>
      <c r="C10" s="5" t="inlineStr">
        <is>
          <t>Középszint</t>
        </is>
      </c>
      <c r="D10" s="5" t="inlineStr">
        <is>
          <t>IIBA ECBA, ITIL 4, SAFe SP, PL-300</t>
        </is>
      </c>
      <c r="E10" s="5" t="inlineStr">
        <is>
          <t>Claude + Draw.io MCP, Miro AI, Power BI Copilot</t>
        </is>
      </c>
      <c r="F10" s="5" t="inlineStr">
        <is>
          <t>Rendszerszervező</t>
        </is>
      </c>
    </row>
    <row r="11">
      <c r="A11" s="6" t="inlineStr">
        <is>
          <t>IT SLA Mgmt &amp; Risk</t>
        </is>
      </c>
      <c r="B11" s="6" t="inlineStr">
        <is>
          <t>Szolgáltatásszint és Kockázat</t>
        </is>
      </c>
      <c r="C11" s="6" t="inlineStr">
        <is>
          <t>Haladó szint</t>
        </is>
      </c>
      <c r="D11" s="6" t="inlineStr">
        <is>
          <t>ITIL 4, CRISC, CISA, ISO 27001, DORA specialista</t>
        </is>
      </c>
      <c r="E11" s="6" t="inlineStr">
        <is>
          <t>Power BI Copilot, Claude, ServiceNow AI</t>
        </is>
      </c>
      <c r="F11" s="6" t="inlineStr">
        <is>
          <t>IT SLA Management &amp; Risk</t>
        </is>
      </c>
    </row>
    <row r="12">
      <c r="A12" s="5" t="inlineStr">
        <is>
          <t>Agile: PO / Scrum / PM</t>
        </is>
      </c>
      <c r="B12" s="5" t="inlineStr">
        <is>
          <t>Product Owner, Scrum Master</t>
        </is>
      </c>
      <c r="C12" s="5" t="inlineStr">
        <is>
          <t>Középszint</t>
        </is>
      </c>
      <c r="D12" s="5" t="inlineStr">
        <is>
          <t>PSM I-II, PSPO I-II, SAFe SP</t>
        </is>
      </c>
      <c r="E12" s="5" t="inlineStr">
        <is>
          <t>Miro AI + MCP, Jira Intelligence</t>
        </is>
      </c>
      <c r="F12" s="5" t="inlineStr">
        <is>
          <t>Agile – PO / Scrum / PM</t>
        </is>
      </c>
    </row>
    <row r="13">
      <c r="A13" s="6" t="inlineStr">
        <is>
          <t>Tesztkoordináció &amp; Tesztelés</t>
        </is>
      </c>
      <c r="B13" s="6" t="inlineStr">
        <is>
          <t>QA, Test Management</t>
        </is>
      </c>
      <c r="C13" s="6" t="inlineStr">
        <is>
          <t>Középszint</t>
        </is>
      </c>
      <c r="D13" s="6" t="inlineStr">
        <is>
          <t>ISTQB CTFL, CTAL-TM, TAE</t>
        </is>
      </c>
      <c r="E13" s="6" t="inlineStr">
        <is>
          <t>Claude Code, Applitools AI</t>
        </is>
      </c>
      <c r="F13" s="6" t="inlineStr">
        <is>
          <t>Tesztkoordináció &amp; Tesztelés</t>
        </is>
      </c>
    </row>
    <row r="14">
      <c r="A14" s="5" t="inlineStr">
        <is>
          <t>Projektmenedzsment</t>
        </is>
      </c>
      <c r="B14" s="5" t="inlineStr">
        <is>
          <t>IT Project Management</t>
        </is>
      </c>
      <c r="C14" s="5" t="inlineStr">
        <is>
          <t>Középszint</t>
        </is>
      </c>
      <c r="D14" s="5" t="inlineStr">
        <is>
          <t>PMP, PRINCE2, MSP, Prosci</t>
        </is>
      </c>
      <c r="E14" s="5" t="inlineStr">
        <is>
          <t>Copilot + Miro AI, Power BI</t>
        </is>
      </c>
      <c r="F14" s="5" t="inlineStr">
        <is>
          <t>Projektmenedzsment</t>
        </is>
      </c>
    </row>
    <row r="15">
      <c r="A15" s="6" t="inlineStr">
        <is>
          <t>Solution Architect</t>
        </is>
      </c>
      <c r="B15" s="6" t="inlineStr">
        <is>
          <t>IT Megoldástervező</t>
        </is>
      </c>
      <c r="C15" s="6" t="inlineStr">
        <is>
          <t>Haladó szint</t>
        </is>
      </c>
      <c r="D15" s="6" t="inlineStr">
        <is>
          <t>TOGAF, AWS SAA, AZ-305, CKAD</t>
        </is>
      </c>
      <c r="E15" s="6" t="inlineStr">
        <is>
          <t>Claude Code + Draw.io MCP, Archimate AI</t>
        </is>
      </c>
      <c r="F15" s="6" t="inlineStr">
        <is>
          <t>Solution Architect</t>
        </is>
      </c>
    </row>
    <row r="16">
      <c r="A16" s="74" t="inlineStr">
        <is>
          <t>Data Engineer &amp; Analytics</t>
        </is>
      </c>
      <c r="B16" s="74" t="inlineStr">
        <is>
          <t>Adatmérnök és Analitika</t>
        </is>
      </c>
      <c r="C16" s="74" t="inlineStr">
        <is>
          <t>Középszint</t>
        </is>
      </c>
      <c r="D16" s="74" t="inlineStr">
        <is>
          <t>PL-300, DP-900, Snowflake, Databricks</t>
        </is>
      </c>
      <c r="E16" s="74" t="inlineStr">
        <is>
          <t>Power BI Copilot, Claude Code, dbt</t>
        </is>
      </c>
      <c r="F16" s="74" t="inlineStr">
        <is>
          <t>Data Engineer &amp; Analytics</t>
        </is>
      </c>
    </row>
    <row r="17">
      <c r="A17" s="75" t="inlineStr">
        <is>
          <t>Cybersecurity Specialist</t>
        </is>
      </c>
      <c r="B17" s="75" t="inlineStr">
        <is>
          <t>Kiberbiztonság és Compliance</t>
        </is>
      </c>
      <c r="C17" s="75" t="inlineStr">
        <is>
          <t>Haladó szint</t>
        </is>
      </c>
      <c r="D17" s="75" t="inlineStr">
        <is>
          <t>Security+, CEH, CISM, ISO 27001/42001</t>
        </is>
      </c>
      <c r="E17" s="75" t="inlineStr">
        <is>
          <t>KnowBe4 AI, Splunk AI, Claude</t>
        </is>
      </c>
      <c r="F17" s="75" t="inlineStr">
        <is>
          <t>Cybersecurity Specialist</t>
        </is>
      </c>
    </row>
    <row r="18">
      <c r="A18" s="74" t="inlineStr">
        <is>
          <t>Platform Engineer / DevOps</t>
        </is>
      </c>
      <c r="B18" s="74" t="inlineStr">
        <is>
          <t>Cloud-native infrastruktúra, SRE</t>
        </is>
      </c>
      <c r="C18" s="74" t="inlineStr">
        <is>
          <t>Középszint</t>
        </is>
      </c>
      <c r="D18" s="74" t="inlineStr">
        <is>
          <t>CKA/CKAD, Terraform, AWS SAA, AZ-305</t>
        </is>
      </c>
      <c r="E18" s="74" t="inlineStr">
        <is>
          <t>Claude Code, GitHub Copilot, ArgoCD</t>
        </is>
      </c>
      <c r="F18" s="74" t="inlineStr">
        <is>
          <t>Platform Engineer - DevOps</t>
        </is>
      </c>
    </row>
    <row r="19" ht="26" customHeight="1" s="20">
      <c r="A19" s="75" t="inlineStr">
        <is>
          <t>AI/ML Engineer</t>
        </is>
      </c>
      <c r="B19" s="75" t="inlineStr">
        <is>
          <t>Vállalati AI megoldások</t>
        </is>
      </c>
      <c r="C19" s="75" t="inlineStr">
        <is>
          <t>Haladó szint</t>
        </is>
      </c>
      <c r="D19" s="75" t="inlineStr">
        <is>
          <t>AWS ML Specialty, AI-102, ISO 42001</t>
        </is>
      </c>
      <c r="E19" s="75" t="inlineStr">
        <is>
          <t>Claude API, LangChain, MLflow</t>
        </is>
      </c>
      <c r="F19" s="75" t="inlineStr">
        <is>
          <t>AI-ML Engineer</t>
        </is>
      </c>
    </row>
    <row r="20" ht="26" customHeight="1" s="20">
      <c r="A20" s="74" t="inlineStr">
        <is>
          <t>Low-code / Citizen Developer</t>
        </is>
      </c>
      <c r="B20" s="74" t="inlineStr">
        <is>
          <t>Power Platform, ServiceNow, RPA</t>
        </is>
      </c>
      <c r="C20" s="74" t="inlineStr">
        <is>
          <t>Középszint</t>
        </is>
      </c>
      <c r="D20" s="74" t="inlineStr">
        <is>
          <t>PL-900, PL-200, ServiceNow CSA</t>
        </is>
      </c>
      <c r="E20" s="74" t="inlineStr">
        <is>
          <t>Copilot Studio, AI Builder, Power Automate</t>
        </is>
      </c>
      <c r="F20" s="74" t="inlineStr">
        <is>
          <t>Low-code - Citizen Developer</t>
        </is>
      </c>
    </row>
    <row r="21" ht="26" customHeight="1" s="20">
      <c r="A21" s="6" t="inlineStr">
        <is>
          <t>Claude Code</t>
        </is>
      </c>
      <c r="B21" s="6" t="inlineStr">
        <is>
          <t>Claude Code CLI, kódgenerálás, refaktorálás, MCP protokoll, Claude Projects, biztonsági alapok</t>
        </is>
      </c>
      <c r="C21" s="6" t="inlineStr">
        <is>
          <t>Technikai munkaköröknek KÖTELEZŐ</t>
        </is>
      </c>
      <c r="D21" s="6" t="inlineStr">
        <is>
          <t>Belső Claude Code onboarding igazolás + elvégzett POC feladat</t>
        </is>
      </c>
    </row>
    <row r="22">
      <c r="A22" s="76" t="inlineStr">
        <is>
          <t>KÖZÖS ALAPTANTERV — AI FÓKUSZ</t>
        </is>
      </c>
      <c r="B22" s="77" t="n"/>
      <c r="C22" s="77" t="n"/>
      <c r="D22" s="77" t="n"/>
      <c r="E22" s="77" t="n"/>
      <c r="F22" s="77" t="n"/>
    </row>
    <row r="23">
      <c r="A23" s="78" t="inlineStr">
        <is>
          <t>AI / Eszköz témakör</t>
        </is>
      </c>
      <c r="B23" s="78" t="inlineStr">
        <is>
          <t>Tartalom röviden</t>
        </is>
      </c>
      <c r="C23" s="78" t="inlineStr">
        <is>
          <t>Kötelezettség</t>
        </is>
      </c>
      <c r="D23" s="78" t="inlineStr">
        <is>
          <t>Kimenet</t>
        </is>
      </c>
    </row>
    <row r="24">
      <c r="A24" s="31" t="inlineStr">
        <is>
          <t>AI alapismeretek</t>
        </is>
      </c>
      <c r="B24" s="31" t="inlineStr">
        <is>
          <t>LLM fogalmak, AI etika, hallucináció kezelés, vállalati AI szabályzat és EU AI Act</t>
        </is>
      </c>
      <c r="C24" s="31" t="inlineStr">
        <is>
          <t>Minden munkakörre KÖTELEZŐ</t>
        </is>
      </c>
      <c r="D24" s="31" t="inlineStr">
        <is>
          <t>Belső e-learning + teszt</t>
        </is>
      </c>
    </row>
    <row r="25" ht="26" customHeight="1" s="20">
      <c r="A25" s="79" t="inlineStr">
        <is>
          <t>Prompt Engineering</t>
        </is>
      </c>
      <c r="B25" s="79" t="inlineStr">
        <is>
          <t>Zero-shot/few-shot, chain-of-thought, prompt könyvtár</t>
        </is>
      </c>
      <c r="C25" s="79" t="inlineStr">
        <is>
          <t>Minden munkakörre KÖTELEZŐ</t>
        </is>
      </c>
      <c r="D25" s="79" t="inlineStr">
        <is>
          <t>Workshop igazolás + prompt portfólió</t>
        </is>
      </c>
    </row>
    <row r="26" ht="26" customHeight="1" s="20">
      <c r="A26" s="31" t="inlineStr">
        <is>
          <t>Claude Code</t>
        </is>
      </c>
      <c r="B26" s="31" t="inlineStr">
        <is>
          <t>Claude Code CLI, kódgenerálás, MCP protokoll bevezető</t>
        </is>
      </c>
      <c r="C26" s="31" t="inlineStr">
        <is>
          <t>Technikai munkaköröknek KÖTELEZŐ</t>
        </is>
      </c>
      <c r="D26" s="31" t="inlineStr">
        <is>
          <t>Belső onboarding + POC feladat</t>
        </is>
      </c>
    </row>
    <row r="27">
      <c r="A27" s="79" t="inlineStr">
        <is>
          <t>Microsoft Copilot</t>
        </is>
      </c>
      <c r="B27" s="79" t="inlineStr">
        <is>
          <t>M365 integráció: Word/Excel/Teams/Outlook AI</t>
        </is>
      </c>
      <c r="C27" s="79" t="inlineStr">
        <is>
          <t>Minden munkakörre AJÁNLOTT</t>
        </is>
      </c>
      <c r="D27" s="79" t="inlineStr">
        <is>
          <t>MS Learn badge</t>
        </is>
      </c>
    </row>
    <row r="28">
      <c r="A28" s="31" t="inlineStr">
        <is>
          <t>Miro AI + MCP</t>
        </is>
      </c>
      <c r="B28" s="31" t="inlineStr">
        <is>
          <t>AI-alapú tábla, MCP: Claude vezérli a Miro táblákat</t>
        </is>
      </c>
      <c r="C28" s="31" t="inlineStr">
        <is>
          <t>Agile/PM/SA KÖTELEZŐ</t>
        </is>
      </c>
      <c r="D28" s="31" t="inlineStr">
        <is>
          <t>Belső workshop</t>
        </is>
      </c>
    </row>
    <row r="29">
      <c r="A29" s="79" t="inlineStr">
        <is>
          <t>Draw.io AI + MCP</t>
        </is>
      </c>
      <c r="B29" s="79" t="inlineStr">
        <is>
          <t>Diagram generálás Claude-dal leírásból</t>
        </is>
      </c>
      <c r="C29" s="79" t="inlineStr">
        <is>
          <t>Architect/Rendszerszervező KÖTELEZŐ</t>
        </is>
      </c>
      <c r="D29" s="79" t="inlineStr">
        <is>
          <t>Belső workshop</t>
        </is>
      </c>
    </row>
    <row r="30">
      <c r="A30" s="31" t="inlineStr">
        <is>
          <t>Figma / FigJam AI + MCP</t>
        </is>
      </c>
      <c r="B30" s="31" t="inlineStr">
        <is>
          <t>UI és folyamattervezés AI-jal</t>
        </is>
      </c>
      <c r="C30" s="31" t="inlineStr">
        <is>
          <t>PO/Architect/SA AJÁNLOTT</t>
        </is>
      </c>
      <c r="D30" s="31" t="inlineStr">
        <is>
          <t>Belső workshop</t>
        </is>
      </c>
    </row>
    <row r="31">
      <c r="A31" s="79" t="inlineStr">
        <is>
          <t>Confluence + Notion AI</t>
        </is>
      </c>
      <c r="B31" s="79" t="inlineStr">
        <is>
          <t>Tudásbázis AI-jal</t>
        </is>
      </c>
      <c r="C31" s="79" t="inlineStr">
        <is>
          <t>Minden munkakörre AJÁNLOTT</t>
        </is>
      </c>
      <c r="D31" s="79" t="inlineStr">
        <is>
          <t>Belső tréning</t>
        </is>
      </c>
    </row>
    <row r="32">
      <c r="A32" s="31" t="inlineStr">
        <is>
          <t>MCP protokoll – haladó</t>
        </is>
      </c>
      <c r="B32" s="31" t="inlineStr">
        <is>
          <t>Saját MCP szerver fejlesztés, multi-agent orchestráció</t>
        </is>
      </c>
      <c r="C32" s="31" t="inlineStr">
        <is>
          <t>Architect/Dev KÖTELEZŐ, többi AJÁNLOTT</t>
        </is>
      </c>
      <c r="D32" s="31" t="inlineStr">
        <is>
          <t>Haladó MCP workshop + POC</t>
        </is>
      </c>
    </row>
    <row r="33">
      <c r="A33" s="79" t="inlineStr">
        <is>
          <t>AI Agents &amp; automatizáció</t>
        </is>
      </c>
      <c r="B33" s="79" t="inlineStr">
        <is>
          <t>n8n, LangChain, CrewAI, multi-agent workflow</t>
        </is>
      </c>
      <c r="C33" s="79" t="inlineStr">
        <is>
          <t>Technikai munkaköröknek AJÁNLOTT</t>
        </is>
      </c>
      <c r="D33" s="79" t="inlineStr">
        <is>
          <t>AI Automation workshop + workflow</t>
        </is>
      </c>
    </row>
    <row r="34">
      <c r="A34" s="31" t="inlineStr">
        <is>
          <t>AI biztonság és governance</t>
        </is>
      </c>
      <c r="B34" s="31" t="inlineStr">
        <is>
          <t>GDPR, EU AI Act, ISO 42001, AI red-teaming</t>
        </is>
      </c>
      <c r="C34" s="31" t="inlineStr">
        <is>
          <t>Risk/Compliance KÖTELEZŐ, többi AJÁNLOTT</t>
        </is>
      </c>
      <c r="D34" s="31" t="inlineStr">
        <is>
          <t>ISO 42001 awareness + vizsga</t>
        </is>
      </c>
    </row>
    <row r="35">
      <c r="A35" s="79" t="inlineStr">
        <is>
          <t>Copilot Studio &amp; Power Automate</t>
        </is>
      </c>
      <c r="B35" s="79" t="inlineStr">
        <is>
          <t>Egyedi Copilot agensek, Power Automate, RPA</t>
        </is>
      </c>
      <c r="C35" s="79" t="inlineStr">
        <is>
          <t>Minden munkakörre AJÁNLOTT</t>
        </is>
      </c>
      <c r="D35" s="79" t="inlineStr">
        <is>
          <t>Copilot Studio workshop</t>
        </is>
      </c>
    </row>
    <row r="36">
      <c r="A36" s="31" t="inlineStr">
        <is>
          <t>IT kommunikáció &amp; facilitálás</t>
        </is>
      </c>
      <c r="B36" s="31" t="inlineStr">
        <is>
          <t>Stakeholder kommunikáció, workshop facilitálás</t>
        </is>
      </c>
      <c r="C36" s="31" t="inlineStr">
        <is>
          <t>Minden munkakörre AJÁNLOTT</t>
        </is>
      </c>
      <c r="D36" s="31" t="inlineStr">
        <is>
          <t>Belső tréning igazolás</t>
        </is>
      </c>
    </row>
    <row r="37">
      <c r="A37" s="79" t="inlineStr">
        <is>
          <t>Adat- és információbiztonság</t>
        </is>
      </c>
      <c r="B37" s="79" t="inlineStr">
        <is>
          <t>GDPR, NIS2, phishing awareness, social engineering</t>
        </is>
      </c>
      <c r="C37" s="79" t="inlineStr">
        <is>
          <t>Minden munkakörre KÖTELEZŐ</t>
        </is>
      </c>
      <c r="D37" s="79" t="inlineStr">
        <is>
          <t>Belső e-learning + teszt</t>
        </is>
      </c>
    </row>
    <row r="38">
      <c r="A38" s="31" t="inlineStr">
        <is>
          <t>Verziókezelés (Git) és CI/CD</t>
        </is>
      </c>
      <c r="B38" s="31" t="inlineStr">
        <is>
          <t>Git workflow, branching, PR review, GitHub Actions</t>
        </is>
      </c>
      <c r="C38" s="31" t="inlineStr">
        <is>
          <t>Technikai munkakörökre KÖTELEZŐ</t>
        </is>
      </c>
      <c r="D38" s="31" t="inlineStr">
        <is>
          <t>Belső Git workshop</t>
        </is>
      </c>
    </row>
  </sheetData>
  <mergeCells count="5">
    <mergeCell ref="A2:F2"/>
    <mergeCell ref="A1:F1"/>
    <mergeCell ref="A8:F8"/>
    <mergeCell ref="A22:F22"/>
    <mergeCell ref="A3:F3"/>
  </mergeCells>
  <pageMargins left="0.75" right="0.75" top="1" bottom="1" header="0.5" footer="0.5"/>
  <headerFooter>
    <oddHeader>&amp;C&amp;"Calibri"&amp;1 &amp;K000000 Internal#_x000d_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C55A11"/>
    <outlinePr summaryBelow="1" summaryRight="1"/>
    <pageSetUpPr/>
  </sheetPr>
  <dimension ref="A1:M27"/>
  <sheetViews>
    <sheetView workbookViewId="0">
      <pane ySplit="3" topLeftCell="A4" activePane="bottomLeft" state="frozen"/>
      <selection pane="bottomLeft" activeCell="F13" sqref="F13"/>
    </sheetView>
  </sheetViews>
  <sheetFormatPr baseColWidth="8" defaultRowHeight="14.5"/>
  <cols>
    <col width="5" customWidth="1" style="20" min="1" max="1"/>
    <col width="28" customWidth="1" style="20" min="2" max="2"/>
    <col width="60" customWidth="1" style="20" min="3" max="3"/>
    <col width="35" customWidth="1" style="20" min="4" max="4"/>
    <col width="50" customWidth="1" style="20" min="5" max="5"/>
    <col width="38" customWidth="1" style="20" min="6" max="6"/>
    <col width="14" customWidth="1" style="20" min="7" max="7"/>
    <col width="30" customWidth="1" style="20" min="8" max="8"/>
    <col width="30" customWidth="1" style="20" min="9" max="9"/>
    <col width="20" customWidth="1" style="20" min="10" max="10"/>
    <col width="20" customWidth="1" style="20" min="11" max="11"/>
    <col width="22" customWidth="1" style="20" min="12" max="12"/>
    <col width="16" customWidth="1" style="20" min="13" max="13"/>
  </cols>
  <sheetData>
    <row r="1" ht="30" customHeight="1" s="20">
      <c r="A1" s="26" t="inlineStr">
        <is>
          <t>KÖZÖS ALAPTANTERV — AI &amp; DIGITÁLIS ESZKÖZÖK FÓKUSSZAL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8" t="n"/>
    </row>
    <row r="2" ht="22" customHeight="1" s="20">
      <c r="A2" s="24" t="inlineStr">
        <is>
          <t>Minden munkakörre érvényes kötelező és ajánlott képzések — AI alapok, Claude Code, MCP protokoll és modern kollaborációs eszközök AI-alapú használata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5" t="n"/>
    </row>
    <row r="3" ht="22" customHeight="1" s="20">
      <c r="A3" s="1" t="inlineStr">
        <is>
          <t>#</t>
        </is>
      </c>
      <c r="B3" s="1" t="inlineStr">
        <is>
          <t>Képzési terület</t>
        </is>
      </c>
      <c r="C3" s="1" t="inlineStr">
        <is>
          <t>Képzési tartalom</t>
        </is>
      </c>
      <c r="D3" s="1" t="inlineStr">
        <is>
          <t>Eszköz / Platform</t>
        </is>
      </c>
      <c r="E3" s="1" t="inlineStr">
        <is>
          <t>AI / MCP integráció</t>
        </is>
      </c>
      <c r="F3" s="1" t="inlineStr">
        <is>
          <t>Bizonyítvány / Kimenet</t>
        </is>
      </c>
      <c r="G3" s="1" t="inlineStr">
        <is>
          <t>Szint</t>
        </is>
      </c>
      <c r="H3" s="1" t="inlineStr">
        <is>
          <t>Megjegyzés</t>
        </is>
      </c>
      <c r="I3" s="30" t="inlineStr">
        <is>
          <t>Képzőhely / Provider</t>
        </is>
      </c>
      <c r="J3" s="30" t="inlineStr">
        <is>
          <t>Képzési díj (nettó Ft)</t>
        </is>
      </c>
      <c r="K3" s="30" t="inlineStr">
        <is>
          <t>Vizsgadíj (nettó Ft)</t>
        </is>
      </c>
      <c r="L3" s="30" t="inlineStr">
        <is>
          <t>Össz. költség/fő (Ft)</t>
        </is>
      </c>
      <c r="M3" s="30" t="inlineStr">
        <is>
          <t>Javasolt félév</t>
        </is>
      </c>
    </row>
    <row r="4" ht="20" customHeight="1" s="20">
      <c r="A4" s="23" t="inlineStr">
        <is>
          <t>ALAPSZINT — Minden munkatársra kötelező belépő AI és digitális képzések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5" t="n"/>
    </row>
    <row r="5" ht="50" customHeight="1" s="20">
      <c r="A5" s="8" t="n">
        <v>1</v>
      </c>
      <c r="B5" s="8" t="inlineStr">
        <is>
          <t>AI alapismeretek</t>
        </is>
      </c>
      <c r="C5" s="8" t="inlineStr">
        <is>
          <t>Mesterséges intelligencia alapfogalmak és vállalati alkalmazás: gépi tanulás típusai (supervised, unsupervised, reinforcement), neurális hálók bevezető, LLM működési elve, tokenizáció, kontextusablak; generatív AI kockázatai (hallucináció, bias, adatbiztonsági aggályok); EU AI Act 2024 alapfogalmak; vállalati AI használati szabályzat megismerése és alkalmazása</t>
        </is>
      </c>
      <c r="D5" s="8" t="inlineStr">
        <is>
          <t>Coursera: AI for Everyone (Andrew Ng), LinkedIn Learning AI path, Anthropic AI Safety Course, belső e-learning platform</t>
        </is>
      </c>
      <c r="E5" s="8" t="inlineStr">
        <is>
          <t>Claude.ai, ChatGPT, Microsoft Copilot összehasonlítása napi munkaeszközként; vállalati AI use case elemzés; Copilot vs. Claude erősségek feltárása élő próbával</t>
        </is>
      </c>
      <c r="F5" s="8" t="inlineStr">
        <is>
          <t>DeepLearning.ai: AI for Everyone (Coursera) VAGY Anthropic beginner AI course VAGY belső AI alaptanfolyam – igazolással</t>
        </is>
      </c>
      <c r="G5" s="8" t="inlineStr">
        <is>
          <t>Alapszint</t>
        </is>
      </c>
      <c r="H5" s="8" t="inlineStr">
        <is>
          <t>Előfeltétel nélkül elvégezhető; ajánlott az összes többi AI képzés előtt. Kb. 6–8 óra.</t>
        </is>
      </c>
      <c r="I5" s="31" t="inlineStr">
        <is>
          <t>Training360 / Coursera</t>
        </is>
      </c>
      <c r="J5" s="32" t="n">
        <v>89000</v>
      </c>
      <c r="K5" s="32" t="n">
        <v>0</v>
      </c>
      <c r="L5" s="33">
        <f>J5+K5</f>
        <v/>
      </c>
      <c r="M5" s="31" t="inlineStr">
        <is>
          <t>2025 H2</t>
        </is>
      </c>
    </row>
    <row r="6" ht="50" customHeight="1" s="20">
      <c r="A6" s="8" t="n">
        <v>2</v>
      </c>
      <c r="B6" s="8" t="inlineStr">
        <is>
          <t>Prompt engineering</t>
        </is>
      </c>
      <c r="C6" s="8" t="inlineStr">
        <is>
          <t>Hatékony promptok tervezésének elmélete és gyakorlata: zero-shot, one-shot, few-shot technikák; chain-of-thought (CoT) és tree-of-thought (ToT) reasoning; szerepjáték-promptok (role prompting); XML/JSON struktúrált kimenet kérése; iteratív finomítás és promptverziózás; rendszerprompt vs. felhasználói prompt; vállalati prompt könyvtár kialakítása; prompt injection veszélyei és védekezési elvek</t>
        </is>
      </c>
      <c r="D6" s="8" t="inlineStr">
        <is>
          <t>Anthropic Prompt Library (docs.anthropic.com/prompting), OpenAI Cookbook, Claude.ai, LearnPrompting.org</t>
        </is>
      </c>
      <c r="E6" s="8" t="inlineStr">
        <is>
          <t>Claude.ai – élő CoT demonstrálás, struktúrált JSON kimenet kérés, prompt újrahasznosítás; belső prompt könyvtár kezelése Claude Projects segítségével</t>
        </is>
      </c>
      <c r="F6" s="8" t="inlineStr">
        <is>
          <t>Belső prompt engineering workshop elvégzési igazolás + prompt portfólió (min. 10 dokumentált, munkakör-specifikus prompt)</t>
        </is>
      </c>
      <c r="G6" s="8" t="inlineStr">
        <is>
          <t>Alapszint</t>
        </is>
      </c>
      <c r="H6" s="8" t="inlineStr">
        <is>
          <t>Praktikus, munkakör-specifikus feladatokkal: ITIL összefoglalás, user story gen, kockázati elemzés. Kb. 4–6 óra.</t>
        </is>
      </c>
      <c r="I6" s="31" t="inlineStr">
        <is>
          <t>HWSW / Ruander</t>
        </is>
      </c>
      <c r="J6" s="32" t="n">
        <v>129000</v>
      </c>
      <c r="K6" s="32" t="n">
        <v>0</v>
      </c>
      <c r="L6" s="33">
        <f>J6+K6</f>
        <v/>
      </c>
      <c r="M6" s="31" t="inlineStr">
        <is>
          <t>2025 H2</t>
        </is>
      </c>
    </row>
    <row r="7" ht="50" customHeight="1" s="20">
      <c r="A7" s="8" t="n">
        <v>3</v>
      </c>
      <c r="B7" s="8" t="inlineStr">
        <is>
          <t>Claude Code használata</t>
        </is>
      </c>
      <c r="C7" s="8" t="inlineStr">
        <is>
          <t>Claude Code CLI telepítése és konfigurálása: API kulcs, CLAUDE.md projekt konfiguráció, custom slash commandok; alapparancsok (/clear, /compact, /context, --continue); kódgenerálás, refaktorálás, bugkeresés és dokumentáció-írás; Claude Projects: projekt kontextus és szokások beállítása; MCP protokoll bevezető: filesystem, Git, böngésző MCP; biztonsági alapok: .gitignore, titkos adatok védelme, permission modok</t>
        </is>
      </c>
      <c r="D7" s="8" t="inlineStr">
        <is>
          <t>Claude Code (Anthropic CLI), VS Code + Claude Code extension, Git, Windows Terminal / WSL2</t>
        </is>
      </c>
      <c r="E7" s="8" t="inlineStr">
        <is>
          <t>Claude Code + MCP: helyi fájlrendszer elérés, automatikus commit üzenet generálás, kód-review segítés; Claude Projects: vállalati kódszabályok és dokumentumok feltöltése kontextusként</t>
        </is>
      </c>
      <c r="F7" s="8" t="inlineStr">
        <is>
          <t>Belső Claude Code onboarding igazolás + elvégzett POC: meglévő script dokumentálása és refaktorálása Claude Code-dal</t>
        </is>
      </c>
      <c r="G7" s="8" t="inlineStr">
        <is>
          <t>Alapszint</t>
        </is>
      </c>
      <c r="H7" s="8" t="inlineStr">
        <is>
          <t>Különösen fontos technikai munkaköröknek. Előfeltétel: Prompt engineering alapok. Kb. 8–10 óra.</t>
        </is>
      </c>
      <c r="I7" s="31" t="inlineStr">
        <is>
          <t>Belső képzés / Anthropic</t>
        </is>
      </c>
      <c r="J7" s="32" t="n">
        <v>0</v>
      </c>
      <c r="K7" s="32" t="n">
        <v>0</v>
      </c>
      <c r="L7" s="33">
        <f>J7+K7</f>
        <v/>
      </c>
      <c r="M7" s="31" t="inlineStr">
        <is>
          <t>2025 H2</t>
        </is>
      </c>
    </row>
    <row r="8" ht="50" customHeight="1" s="20">
      <c r="A8" s="8" t="n">
        <v>4</v>
      </c>
      <c r="B8" s="8" t="inlineStr">
        <is>
          <t>Microsoft 365 Copilot</t>
        </is>
      </c>
      <c r="C8" s="8" t="inlineStr">
        <is>
          <t>Microsoft 365 Copilot produktivitásnövelő alkalmazása: Word – dokumentum összefoglalás és tervezet generálás; Excel – természetes nyelvű adatelemzés, képletírás; PowerPoint – diavázlat és tartalom generálás; Teams – meeting összefoglalók, to-do lista, döntéskiemelés; Outlook – e-mail megválaszolás és összefoglalás; Copilot Studio: egyedi vállalati Copilot-ok; GitHub Copilot alapok technikai munkaköröknek</t>
        </is>
      </c>
      <c r="D8" s="8" t="inlineStr">
        <is>
          <t>Microsoft 365 Copilot (vállalati licensz), Copilot Studio, GitHub Copilot (VS Code extension)</t>
        </is>
      </c>
      <c r="E8" s="8" t="inlineStr">
        <is>
          <t>M365 Copilot beépített AI minden alkalmazásban; Copilot Studio: egyedi KB és workflow; GitHub Copilot: kódkiegészítés, tesztkód és docstring generálás</t>
        </is>
      </c>
      <c r="F8" s="8" t="inlineStr">
        <is>
          <t>MS Learn: Get started with Microsoft 365 Copilot learning path + badge; opcionálisan: GitHub Copilot onboarding igazolás</t>
        </is>
      </c>
      <c r="G8" s="8" t="inlineStr">
        <is>
          <t>Alapszint</t>
        </is>
      </c>
      <c r="H8" s="8" t="inlineStr">
        <is>
          <t>Vállalati M365 Copilot licensz szükséges. GitHub Copilot külön licensz. Kb. 6–8 óra; napi alkalmazás mélyíti.</t>
        </is>
      </c>
      <c r="I8" s="31" t="inlineStr">
        <is>
          <t>Masterfield / IQEDU</t>
        </is>
      </c>
      <c r="J8" s="32" t="n">
        <v>134500</v>
      </c>
      <c r="K8" s="32" t="n">
        <v>0</v>
      </c>
      <c r="L8" s="33">
        <f>J8+K8</f>
        <v/>
      </c>
      <c r="M8" s="31" t="inlineStr">
        <is>
          <t>2025 H2</t>
        </is>
      </c>
    </row>
    <row r="9" ht="20" customHeight="1" s="20">
      <c r="A9" s="22" t="inlineStr">
        <is>
          <t>KÖZÉPSZINT — AI eszközök haladó és integrált használata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5" t="n"/>
    </row>
    <row r="10" ht="50" customHeight="1" s="20">
      <c r="A10" s="8" t="n">
        <v>5</v>
      </c>
      <c r="B10" s="8" t="inlineStr">
        <is>
          <t>Miro – AI-alapú kollaboráció</t>
        </is>
      </c>
      <c r="C10" s="8" t="inlineStr">
        <is>
          <t>Miro Enterprise tábla haladó workshop-facilitáló alkalmazása: design thinking, customer journey mapping, folyamattervezés; retrospektívek (Start/Stop/Continue, 4Ls, Sailboat); Miro AI: táblatartalom összefoglalás, sticky note csoportosítás, kártyagenerálás prompttal; Miro MCP szerver konfigurálása Claude Code-ban: Claude direktben létrehozhat és módosíthat táblákat, frame-eket, sticky note-okat API-n keresztül</t>
        </is>
      </c>
      <c r="D10" s="8" t="inlineStr">
        <is>
          <t>Miro (Enterprise), Miro AI beépített funkciók, Miro MCP szerver (github.com/miroapp/mcp-server)</t>
        </is>
      </c>
      <c r="E10" s="8" t="inlineStr">
        <is>
          <t>Miro AI: automatikus retro-összefoglalás, kártyagenerálás; MCP: Claude Code-ból indított tábla-módosítás – frame, sticky note, szavazás vezérlése természetes nyelvű promptból</t>
        </is>
      </c>
      <c r="F10" s="8" t="inlineStr">
        <is>
          <t>Miro Certified Associate (online vizsga) + belső AI-alapú Miro workshop elvégzési igazolás</t>
        </is>
      </c>
      <c r="G10" s="8" t="inlineStr">
        <is>
          <t>Középszint</t>
        </is>
      </c>
      <c r="H10" s="8" t="inlineStr">
        <is>
          <t>MCP: miroapp/mcp-server GitHub repo, Claude Code-ban konfigurálható. Agile/PM/SA prioritás. Kb. 4–6 óra.</t>
        </is>
      </c>
      <c r="I10" s="31" t="inlineStr">
        <is>
          <t>Belső workshop</t>
        </is>
      </c>
      <c r="J10" s="32" t="n">
        <v>0</v>
      </c>
      <c r="K10" s="32" t="n">
        <v>0</v>
      </c>
      <c r="L10" s="33">
        <f>J10+K10</f>
        <v/>
      </c>
      <c r="M10" s="31" t="inlineStr">
        <is>
          <t>2026 H1</t>
        </is>
      </c>
    </row>
    <row r="11" ht="50" customHeight="1" s="20">
      <c r="A11" s="8" t="n">
        <v>6</v>
      </c>
      <c r="B11" s="8" t="inlineStr">
        <is>
          <t>Draw.io / diagrams.net – AI-alapú diagramozás</t>
        </is>
      </c>
      <c r="C11" s="8" t="inlineStr">
        <is>
          <t>Draw.io alapok és haladó: architektúra-, folyamat-, hálózati, ER és UML diagramok; sablonkönyvtár és egyedi shape-ek; XML import/export és Confluence makró; VS Code Hediet Draw.io plugin; BPMN diagramok; AI-alapú diagram-generálás természetes leírásból; Draw.io MCP szerver: Claude Code direktben szerkeszti a .drawio XML fájlokat, automatikusan frissíti az architektúra diagramokat</t>
        </is>
      </c>
      <c r="D11" s="8" t="inlineStr">
        <is>
          <t>Draw.io (desktop + diagrams.net), VS Code Draw.io plugin, Confluence Draw.io makró, Draw.io MCP szerver</t>
        </is>
      </c>
      <c r="E11" s="8" t="inlineStr">
        <is>
          <t>Claude + Draw.io MCP: "Rajzolj 3-rétegű webalkalmazás architektúrát Azure-on" promptból teljes diagram; automatikus frissítés architektúraváltáskor; Confluence-be publishált diagramok AI-jal naprakészen</t>
        </is>
      </c>
      <c r="F11" s="8" t="inlineStr">
        <is>
          <t>Draw.io belső workshop elvégzési igazolás + min. 3 projekt diagramja elkészítve AI asszisztenssel</t>
        </is>
      </c>
      <c r="G11" s="8" t="inlineStr">
        <is>
          <t>Középszint</t>
        </is>
      </c>
      <c r="H11" s="8" t="inlineStr">
        <is>
          <t>Ingyenes eszköz. MCP repo: github.com/rlindemann/drawio-mcp. Fejlesztőknek és architekteknek kiemelten hasznos. Kb. 4 óra.</t>
        </is>
      </c>
      <c r="I11" s="31" t="inlineStr">
        <is>
          <t>Belső workshop</t>
        </is>
      </c>
      <c r="J11" s="32" t="n">
        <v>0</v>
      </c>
      <c r="K11" s="32" t="n">
        <v>0</v>
      </c>
      <c r="L11" s="33">
        <f>J11+K11</f>
        <v/>
      </c>
      <c r="M11" s="31" t="inlineStr">
        <is>
          <t>2026 H1</t>
        </is>
      </c>
    </row>
    <row r="12" ht="50" customHeight="1" s="20">
      <c r="A12" s="8" t="n">
        <v>7</v>
      </c>
      <c r="B12" s="8" t="inlineStr">
        <is>
          <t>Figma / FigJam – UI és folyamattervezés AI-jal</t>
        </is>
      </c>
      <c r="C12" s="8" t="inlineStr">
        <is>
          <t>Figma alapok és AI-integrált tervezés: frame-ek, komponensek, auto-layout, design tokenek, prototípus-készítés; FigJam: workshopok, folyamatábrák, whiteboard; Figma AI: automatikus elrendezés, tartalom-generálás, design variánsok; Dev Mode: fejlesztői handoff, CSS export; Figma MCP szerver: Claude Figma fájlokat olvas és módosít, komponenseket listáz; design token export AI-jal; Variables és token rendszer</t>
        </is>
      </c>
      <c r="D12" s="8" t="inlineStr">
        <is>
          <t>Figma (Enterprise), FigJam, Figma AI funkciók, Figma MCP szerver (figma.com/developers/mcp)</t>
        </is>
      </c>
      <c r="E12" s="8" t="inlineStr">
        <is>
          <t>Figma MCP: Claude olvas és módosít Figma komponenseket promptból; Figma AI: wireframe-ből high-fidelity UI; automatikus design rendszer dokumentáció és component usage riport generálás</t>
        </is>
      </c>
      <c r="F12" s="8" t="inlineStr">
        <is>
          <t>Figma Basics + FigJam workshop elvégzési igazolás; opcionálisan: Figma Professional Community certification</t>
        </is>
      </c>
      <c r="G12" s="8" t="inlineStr">
        <is>
          <t>Középszint</t>
        </is>
      </c>
      <c r="H12" s="8" t="inlineStr">
        <is>
          <t>Figma MCP plugin telepítése szükséges. PO, Architect és SA munkaköröknek hasznos. Kb. 6 óra.</t>
        </is>
      </c>
      <c r="I12" s="31" t="inlineStr">
        <is>
          <t>Belső workshop</t>
        </is>
      </c>
      <c r="J12" s="32" t="n">
        <v>0</v>
      </c>
      <c r="K12" s="32" t="n">
        <v>0</v>
      </c>
      <c r="L12" s="33">
        <f>J12+K12</f>
        <v/>
      </c>
      <c r="M12" s="31" t="inlineStr">
        <is>
          <t>2026 H1</t>
        </is>
      </c>
    </row>
    <row r="13" ht="50" customHeight="1" s="20">
      <c r="A13" s="8" t="n">
        <v>8</v>
      </c>
      <c r="B13" s="8" t="inlineStr">
        <is>
          <t>Confluence + Notion AI – tudásbázis AI-jal</t>
        </is>
      </c>
      <c r="C13" s="8" t="inlineStr">
        <is>
          <t>Confluence haladó és AI integráció: space-ek, page tree, blueprint sablonok; Atlassian Intelligence: összefoglalás, átírás, kérdés-felelet, action item kiemelés; Confluence MCP: Claude direktben ír és olvas Confluence oldalakat, táblázatokat frissít; Notion AI: adatbázis-alapú tudásbázis, AI asszisztenssel írt tartalom, automatikus összefoglalók; Notion MCP szerver; dokumentációs kultúra és knowledge graph kialakítása</t>
        </is>
      </c>
      <c r="D13" s="8" t="inlineStr">
        <is>
          <t>Confluence (Atlassian Cloud), Atlassian Intelligence, Notion AI, Confluence MCP, Notion MCP szerver (github.com/makenotion/notion-mcp-server)</t>
        </is>
      </c>
      <c r="E13" s="8" t="inlineStr">
        <is>
          <t>Atlassian Intelligence: oldalak összefoglalása, tartalom javítás; Confluence MCP: Claude automatikusan létrehozza a sprint review dokumentációt; Notion MCP: Claude frissíti az OKR tracker táblát sprint zárásakor</t>
        </is>
      </c>
      <c r="F13" s="8" t="inlineStr">
        <is>
          <t>Atlassian Intelligence belső tréning igazolás; opcionálisan: Atlassian Certified Expert – Confluence (ACP-420)</t>
        </is>
      </c>
      <c r="G13" s="8" t="inlineStr">
        <is>
          <t>Középszint</t>
        </is>
      </c>
      <c r="H13" s="8" t="inlineStr">
        <is>
          <t>Confluence AI csak Atlassian Cloud-on. Notion erős alternatíva. MCP szerverek Claude Code-ban telepíthetők. Kb. 4–6 óra.</t>
        </is>
      </c>
      <c r="I13" s="31" t="inlineStr">
        <is>
          <t>Belső workshop / Atlassian</t>
        </is>
      </c>
      <c r="J13" s="32" t="n">
        <v>0</v>
      </c>
      <c r="K13" s="32" t="n">
        <v>0</v>
      </c>
      <c r="L13" s="33">
        <f>J13+K13</f>
        <v/>
      </c>
      <c r="M13" s="31" t="inlineStr">
        <is>
          <t>2026 H1</t>
        </is>
      </c>
    </row>
    <row r="14" ht="20" customHeight="1" s="20">
      <c r="A14" s="25" t="inlineStr">
        <is>
          <t>HALADÓ SZINT — MCP protokoll, AI Agents és vállalati AI governance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5" t="n"/>
    </row>
    <row r="15" ht="50" customHeight="1" s="20">
      <c r="A15" s="8" t="n">
        <v>9</v>
      </c>
      <c r="B15" s="8" t="inlineStr">
        <is>
          <t>MCP protokoll – haladó integráció</t>
        </is>
      </c>
      <c r="C15" s="8" t="inlineStr">
        <is>
          <t>Model Context Protocol (MCP) mélyebb megértése: kliens-szerver architektúra, transport layer (stdio, HTTP SSE); tool, resource és prompt primitívek; saját MCP szerver fejlesztése Python FastMCP és TypeScript SDK-val; konfigurálás (claude_desktop_config.json); OAuth és biztonsági megfontolások; vállalati MCP szerverek: Jira, Confluence, GitHub, ServiceNow, Power BI, SAP integrációk; AI agent toolchain tervezése több MCP eszközzel párhuzamosan</t>
        </is>
      </c>
      <c r="D15" s="8" t="inlineStr">
        <is>
          <t>Claude Code, MCP Python SDK (FastMCP), TypeScript MCP SDK, VS Code, GitHub (modelcontextprotocol.io)</t>
        </is>
      </c>
      <c r="E15" s="8" t="inlineStr">
        <is>
          <t>Jira + Confluence + GitHub + Miro + Figma + Draw.io + ServiceNow MCP – mind Claude Code-ból vezérelve; multi-agent orchestráció MCP tool-okon keresztül egyetlen AI workflow-ban</t>
        </is>
      </c>
      <c r="F15" s="8" t="inlineStr">
        <is>
          <t>Anthropic MCP dokumentáció önálló teljesítése + belső haladó MCP workshop + saját MCP szerver POC bemutatása csapat előtt</t>
        </is>
      </c>
      <c r="G15" s="8" t="inlineStr">
        <is>
          <t>Haladó szint</t>
        </is>
      </c>
      <c r="H15" s="8" t="inlineStr">
        <is>
          <t>Python vagy TypeScript alapismeret szükséges. Leggyorsabban fejlődő terület 2025-ben. Kb. 12–16 óra.</t>
        </is>
      </c>
      <c r="I15" s="31" t="inlineStr">
        <is>
          <t>NobleProg / Belső</t>
        </is>
      </c>
      <c r="J15" s="32" t="n">
        <v>250000</v>
      </c>
      <c r="K15" s="32" t="n">
        <v>0</v>
      </c>
      <c r="L15" s="33">
        <f>J15+K15</f>
        <v/>
      </c>
      <c r="M15" s="31" t="inlineStr">
        <is>
          <t>2026 H2</t>
        </is>
      </c>
    </row>
    <row r="16" ht="50" customHeight="1" s="20">
      <c r="A16" s="8" t="n">
        <v>10</v>
      </c>
      <c r="B16" s="8" t="inlineStr">
        <is>
          <t>AI Agents &amp; automatizáció</t>
        </is>
      </c>
      <c r="C16" s="8" t="inlineStr">
        <is>
          <t>Agentic AI rendszerek tervezése: agent loop elvei (perceive-plan-act-reflect); multi-step task automatizáció; Claude Tool Use API és function calling; multi-agent orchestráció (orchestrator + specialist subagents); n8n: vizuális AI workflow platform Claude API integrációval; Make.com: no-code automatizáció; LangChain és LangGraph bevezető; CrewAI: párhuzamos AI agent együttműködés; human-in-the-loop tervezési minták; Claude Computer Use API alapok</t>
        </is>
      </c>
      <c r="D16" s="8" t="inlineStr">
        <is>
          <t>n8n (self-hosted vagy cloud), Make.com, LangChain, LangGraph, CrewAI, Claude Agents API, Claude Computer Use</t>
        </is>
      </c>
      <c r="E16" s="8" t="inlineStr">
        <is>
          <t>Claude Tool Use + MCP párhuzamos eszközök; n8n workflow: Jira ticket érkezés → Claude elemzés → Confluence dokumentum → Slack értesítés; multi-agent: tervező + végrehajtó + QA ellenőrző agent</t>
        </is>
      </c>
      <c r="F16" s="8" t="inlineStr">
        <is>
          <t>Belső AI Automation workshop elvégzési igazolás + bemutatott n8n vagy Make.com workflow valódi use case-re</t>
        </is>
      </c>
      <c r="G16" s="8" t="inlineStr">
        <is>
          <t>Haladó szint</t>
        </is>
      </c>
      <c r="H16" s="8" t="inlineStr">
        <is>
          <t>MCP alapismeret előfeltétel. LangChain/CrewAI folyamatosan fejlődik – dokumentáció naprakész követése szükséges. Kb. 10–14 óra.</t>
        </is>
      </c>
      <c r="I16" s="31" t="inlineStr">
        <is>
          <t>HWSW / NobleProg</t>
        </is>
      </c>
      <c r="J16" s="32" t="n">
        <v>169000</v>
      </c>
      <c r="K16" s="32" t="n">
        <v>0</v>
      </c>
      <c r="L16" s="33">
        <f>J16+K16</f>
        <v/>
      </c>
      <c r="M16" s="31" t="inlineStr">
        <is>
          <t>2026 H2</t>
        </is>
      </c>
    </row>
    <row r="17" ht="50" customHeight="1" s="20">
      <c r="A17" s="8" t="n">
        <v>11</v>
      </c>
      <c r="B17" s="8" t="inlineStr">
        <is>
          <t>AI biztonság és governance vállalati környezetben</t>
        </is>
      </c>
      <c r="C17" s="8" t="inlineStr">
        <is>
          <t>Vállalati AI biztonság és governance: GDPR és személyes adatok AI rendszerekben; EU AI Act (2024) – magas kockázatú AI rendszerek azonosítása; prompt injection elleni védelem (direkt és indirekt); LLM hallucináció kezelése és validáció; vállalati AI policy kialakítása; ISO/IEC 42001 AI Management System; AI red-teaming alapok (Garak, PyRIT); adatbiztonsági architektúra LLM esetén (RAG kockázatok, fine-tuning adatvédelem)</t>
        </is>
      </c>
      <c r="D17" s="8" t="inlineStr">
        <is>
          <t>Belső policy dokumentumok, ENISA AI guidelines, OWASP LLM Top 10, NIST AI RMF, Garak (AI red-teaming eszköz)</t>
        </is>
      </c>
      <c r="E17" s="8" t="inlineStr">
        <is>
          <t>Garak és PyRIT red-teaming eszközök; Claude: policy gap elemzés és kockázati forgatókönyv generálás; OWASP LLM Top 10 alkalmazása vállalati kontextusra; AI auditálási checklist készítés</t>
        </is>
      </c>
      <c r="F17" s="8" t="inlineStr">
        <is>
          <t>ISO/IEC 42001 AI Management System awareness tréning + belső AI governance vizsgaigazolás; opcionálisan: ISACA CDPSE (Certified Data Privacy Solutions Engineer)</t>
        </is>
      </c>
      <c r="G17" s="8" t="inlineStr">
        <is>
          <t>Haladó szint</t>
        </is>
      </c>
      <c r="H17" s="8" t="inlineStr">
        <is>
          <t>Risk, Compliance, IT Security munkaköröknek kötelező. EU AI Act 2026-tól teljes körű. Kb. 8–10 óra.</t>
        </is>
      </c>
      <c r="I17" s="31" t="inlineStr">
        <is>
          <t>KÜRT Akadémia / Training360</t>
        </is>
      </c>
      <c r="J17" s="32" t="n">
        <v>189000</v>
      </c>
      <c r="K17" s="32" t="n">
        <v>0</v>
      </c>
      <c r="L17" s="33">
        <f>J17+K17</f>
        <v/>
      </c>
      <c r="M17" s="31" t="inlineStr">
        <is>
          <t>2026 H2</t>
        </is>
      </c>
    </row>
    <row r="18">
      <c r="A18" s="45" t="inlineStr">
        <is>
          <t>ÚJ BŐVÍTMÉNYEK — 2025 v3</t>
        </is>
      </c>
      <c r="B18" s="60" t="n"/>
      <c r="C18" s="60" t="n"/>
      <c r="D18" s="60" t="n"/>
      <c r="E18" s="60" t="n"/>
      <c r="F18" s="60" t="n"/>
      <c r="G18" s="60" t="n"/>
      <c r="H18" s="60" t="n"/>
      <c r="I18" s="60" t="n"/>
      <c r="J18" s="60" t="n"/>
      <c r="K18" s="60" t="n"/>
      <c r="L18" s="60" t="n"/>
      <c r="M18" s="61" t="n"/>
    </row>
    <row r="19">
      <c r="A19" s="47" t="n">
        <v>12</v>
      </c>
      <c r="B19" s="31" t="inlineStr">
        <is>
          <t>Copilot Studio &amp; Power Automate</t>
        </is>
      </c>
      <c r="C19" s="31" t="inlineStr">
        <is>
          <t>Egyedi Copilot agensek építése Copilot Studio-ban: trigger-ek, topic-ok, generatív AI válaszok, Knowledge Sources; Power Automate flow-k: cloud flow, desktop flow (RPA), AI Builder; Power Apps alapok: canvas app, model-driven app; üzleti folyamatok automatizálása low-code eszközökkel</t>
        </is>
      </c>
      <c r="D19" s="31" t="inlineStr">
        <is>
          <t>Copilot Studio, Power Automate, Power Apps, AI Builder</t>
        </is>
      </c>
      <c r="E19" s="31" t="inlineStr">
        <is>
          <t>Copilot Studio: egyedi vállalati AI agens; Power Automate AI Builder: dokumentumfeldolgozás, szövegfelismerés; AI-alapú workflow automatizálás</t>
        </is>
      </c>
      <c r="F19" s="31" t="inlineStr">
        <is>
          <t>MS Learn: Copilot Studio learning path + PL-900 Power Platform Fundamentals (opcionális)</t>
        </is>
      </c>
      <c r="G19" s="31" t="inlineStr">
        <is>
          <t>Középszint</t>
        </is>
      </c>
      <c r="H19" s="31" t="inlineStr">
        <is>
          <t>Masterfield 134 500 Ft kurzus elérhető. Power Platform licensz szükséges. Kb. 8 óra.</t>
        </is>
      </c>
      <c r="I19" s="31" t="inlineStr">
        <is>
          <t>Masterfield / IQEDU</t>
        </is>
      </c>
      <c r="J19" s="32" t="n">
        <v>134500</v>
      </c>
      <c r="K19" s="32" t="n">
        <v>0</v>
      </c>
      <c r="L19" s="33">
        <f>J19+K19</f>
        <v/>
      </c>
      <c r="M19" s="31" t="inlineStr">
        <is>
          <t>2026 H1</t>
        </is>
      </c>
    </row>
    <row r="20">
      <c r="A20" s="47" t="n">
        <v>13</v>
      </c>
      <c r="B20" s="31" t="inlineStr">
        <is>
          <t>IT kommunikáció &amp; facilitálás</t>
        </is>
      </c>
      <c r="C20" s="31" t="inlineStr">
        <is>
          <t>IT-üzleti kommunikáció: Pyramid Principle alkalmazása; SCQA struktúra; executive summary írás; workshop facilitálás: Liberating Structures, Design Thinking; aktív hallgatás és kérdezéstechnika; prezentációs technikák IT szakértőknek; meeting menedzsment</t>
        </is>
      </c>
      <c r="D20" s="31" t="inlineStr">
        <is>
          <t>Miro, Teams, PowerPoint, Confluence</t>
        </is>
      </c>
      <c r="E20" s="31" t="inlineStr">
        <is>
          <t>Copilot PowerPoint: prezentáció generálás; Claude: executive summary és kommunikációs üzenet fogalmazása; Miro AI: workshop összefoglalás</t>
        </is>
      </c>
      <c r="F20" s="31" t="inlineStr">
        <is>
          <t>Belső kommunikációs tréning igazolás + bemutatott executive prezentáció</t>
        </is>
      </c>
      <c r="G20" s="31" t="inlineStr">
        <is>
          <t>Alapszint</t>
        </is>
      </c>
      <c r="H20" s="31" t="inlineStr">
        <is>
          <t>Minden IT munkakörre ajánlott soft skill. Kb. 8 óra.</t>
        </is>
      </c>
      <c r="I20" s="31" t="inlineStr">
        <is>
          <t>ProMan / Training360</t>
        </is>
      </c>
      <c r="J20" s="32" t="n">
        <v>120000</v>
      </c>
      <c r="K20" s="32" t="n">
        <v>0</v>
      </c>
      <c r="L20" s="33">
        <f>J20+K20</f>
        <v/>
      </c>
      <c r="M20" s="31" t="inlineStr">
        <is>
          <t>2025 H2</t>
        </is>
      </c>
    </row>
    <row r="21">
      <c r="A21" s="47" t="n">
        <v>14</v>
      </c>
      <c r="B21" s="31" t="inlineStr">
        <is>
          <t>Adat- és információbiztonság alapok</t>
        </is>
      </c>
      <c r="C21" s="31" t="inlineStr">
        <is>
          <t>GDPR alapok IT rendszerek szempontjából; NIS2 irányelv bevezető; phishing awareness és social engineering felismerés; jelszókezelés és MFA; e-mail biztonság; adatklasszifikáció; clean desk policy; mobileszköz biztonság; belső incidensjelentés folyamata</t>
        </is>
      </c>
      <c r="D21" s="31" t="inlineStr">
        <is>
          <t>Belső e-learning, KnowBe4, Microsoft Defender</t>
        </is>
      </c>
      <c r="E21" s="31" t="inlineStr">
        <is>
          <t>KnowBe4 AI-alapú phishing szimulációk; Claude: biztonsági policy összefoglalás és FAQ generálás</t>
        </is>
      </c>
      <c r="F21" s="31" t="inlineStr">
        <is>
          <t>Belső IT biztonsági e-learning + teszt elvégzési igazolás</t>
        </is>
      </c>
      <c r="G21" s="31" t="inlineStr">
        <is>
          <t>Alapszint</t>
        </is>
      </c>
      <c r="H21" s="31" t="inlineStr">
        <is>
          <t>Minden munkatársra kötelező. GDPR és NIS2 awareness. Kb. 4 óra.</t>
        </is>
      </c>
      <c r="I21" s="31" t="inlineStr">
        <is>
          <t>KÜRT Akadémia / Training360</t>
        </is>
      </c>
      <c r="J21" s="32" t="n">
        <v>89000</v>
      </c>
      <c r="K21" s="32" t="n">
        <v>0</v>
      </c>
      <c r="L21" s="33">
        <f>J21+K21</f>
        <v/>
      </c>
      <c r="M21" s="31" t="inlineStr">
        <is>
          <t>2025 H2</t>
        </is>
      </c>
    </row>
    <row r="22">
      <c r="A22" s="47" t="n">
        <v>15</v>
      </c>
      <c r="B22" s="31" t="inlineStr">
        <is>
          <t>Verziókezelés (Git) és CI/CD alapok</t>
        </is>
      </c>
      <c r="C22" s="31" t="inlineStr">
        <is>
          <t>Git alapok: repository, commit, branch, merge, rebase; Git workflow-k: Gitflow, trunk-based development; Pull Request review folyamat; GitHub/GitLab alapok; GitHub Actions bevezető: workflow YAML, trigger-ek, job-ok; CI/CD pipeline fogalma és értéke</t>
        </is>
      </c>
      <c r="D22" s="31" t="inlineStr">
        <is>
          <t>Git, GitHub, VS Code, GitHub Actions</t>
        </is>
      </c>
      <c r="E22" s="31" t="inlineStr">
        <is>
          <t>GitHub Copilot: commit message generálás, PR summary; Claude Code: Git műveletek és pipeline konfiguráció segítség</t>
        </is>
      </c>
      <c r="F22" s="31" t="inlineStr">
        <is>
          <t>Belső Git workshop igazolás + GitHub profil min. 10 committal</t>
        </is>
      </c>
      <c r="G22" s="31" t="inlineStr">
        <is>
          <t>Alapszint</t>
        </is>
      </c>
      <c r="H22" s="31" t="inlineStr">
        <is>
          <t>Minden technikai munkakörre kötelező. HWSW 24 órás CI/CD kurzus elérhető. Kb. 8 óra.</t>
        </is>
      </c>
      <c r="I22" s="31" t="inlineStr">
        <is>
          <t>HWSW / SZÁMALK</t>
        </is>
      </c>
      <c r="J22" s="32" t="n">
        <v>129000</v>
      </c>
      <c r="K22" s="32" t="n">
        <v>0</v>
      </c>
      <c r="L22" s="33">
        <f>J22+K22</f>
        <v/>
      </c>
      <c r="M22" s="31" t="inlineStr">
        <is>
          <t>2025 H2</t>
        </is>
      </c>
    </row>
    <row r="24">
      <c r="A24" s="48" t="n"/>
      <c r="B24" s="49" t="inlineStr">
        <is>
          <t>Alapszint összesen (1-4, 13-15)</t>
        </is>
      </c>
      <c r="C24" s="48" t="n"/>
      <c r="D24" s="48" t="n"/>
      <c r="E24" s="48" t="n"/>
      <c r="F24" s="48" t="n"/>
      <c r="G24" s="48" t="n"/>
      <c r="H24" s="48" t="n"/>
      <c r="I24" s="48" t="n"/>
      <c r="J24" s="50">
        <f>SUM(J5:J8)+J20+J21+J22</f>
        <v/>
      </c>
      <c r="K24" s="50">
        <f>SUM(K5:K8)+K20+K21+K22</f>
        <v/>
      </c>
      <c r="L24" s="50">
        <f>SUM(L5:L8)+L20+L21+L22</f>
        <v/>
      </c>
      <c r="M24" s="48" t="n"/>
    </row>
    <row r="25">
      <c r="A25" s="51" t="n"/>
      <c r="B25" s="52" t="inlineStr">
        <is>
          <t>Középszint összesen (5-8, 12)</t>
        </is>
      </c>
      <c r="C25" s="51" t="n"/>
      <c r="D25" s="51" t="n"/>
      <c r="E25" s="51" t="n"/>
      <c r="F25" s="51" t="n"/>
      <c r="G25" s="51" t="n"/>
      <c r="H25" s="51" t="n"/>
      <c r="I25" s="51" t="n"/>
      <c r="J25" s="53">
        <f>SUM(J10:J13)+J19</f>
        <v/>
      </c>
      <c r="K25" s="53">
        <f>SUM(K10:K13)+K19</f>
        <v/>
      </c>
      <c r="L25" s="53">
        <f>SUM(L10:L13)+L19</f>
        <v/>
      </c>
      <c r="M25" s="51" t="n"/>
    </row>
    <row r="26">
      <c r="A26" s="54" t="n"/>
      <c r="B26" s="55" t="inlineStr">
        <is>
          <t>Haladó szint összesen (9-11)</t>
        </is>
      </c>
      <c r="C26" s="54" t="n"/>
      <c r="D26" s="54" t="n"/>
      <c r="E26" s="54" t="n"/>
      <c r="F26" s="54" t="n"/>
      <c r="G26" s="54" t="n"/>
      <c r="H26" s="54" t="n"/>
      <c r="I26" s="54" t="n"/>
      <c r="J26" s="56">
        <f>SUM(J15:J17)</f>
        <v/>
      </c>
      <c r="K26" s="56">
        <f>SUM(K15:K17)</f>
        <v/>
      </c>
      <c r="L26" s="56">
        <f>SUM(L15:L17)</f>
        <v/>
      </c>
      <c r="M26" s="54" t="n"/>
    </row>
    <row r="27">
      <c r="A27" s="57" t="n"/>
      <c r="B27" s="58" t="inlineStr">
        <is>
          <t>TELJES ALAPTANTERV ÖSSZESEN</t>
        </is>
      </c>
      <c r="C27" s="57" t="n"/>
      <c r="D27" s="57" t="n"/>
      <c r="E27" s="57" t="n"/>
      <c r="F27" s="57" t="n"/>
      <c r="G27" s="57" t="n"/>
      <c r="H27" s="57" t="n"/>
      <c r="I27" s="57" t="n"/>
      <c r="J27" s="59">
        <f>J24+J25+J26</f>
        <v/>
      </c>
      <c r="K27" s="59">
        <f>K24+K25+K26</f>
        <v/>
      </c>
      <c r="L27" s="59">
        <f>L24+L25+L26</f>
        <v/>
      </c>
      <c r="M27" s="57" t="n"/>
    </row>
  </sheetData>
  <mergeCells count="6">
    <mergeCell ref="A14:M14"/>
    <mergeCell ref="A1:M1"/>
    <mergeCell ref="A9:M9"/>
    <mergeCell ref="A4:M4"/>
    <mergeCell ref="A18:M18"/>
    <mergeCell ref="A2:M2"/>
  </mergeCells>
  <pageMargins left="0.75" right="0.75" top="1" bottom="1" header="0.5" footer="0.5"/>
  <headerFooter>
    <oddHeader>&amp;C&amp;"Calibri"&amp;1 &amp;K000000 Internal#_x000d_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M21"/>
  <sheetViews>
    <sheetView workbookViewId="0">
      <pane ySplit="3" topLeftCell="A10" activePane="bottomLeft" state="frozen"/>
      <selection pane="bottomLeft" activeCell="E6" sqref="E6"/>
    </sheetView>
  </sheetViews>
  <sheetFormatPr baseColWidth="8" defaultRowHeight="14.5"/>
  <cols>
    <col width="5" customWidth="1" style="20" min="1" max="1"/>
    <col width="28" customWidth="1" style="20" min="2" max="2"/>
    <col width="55" customWidth="1" style="20" min="3" max="3"/>
    <col width="30" customWidth="1" style="20" min="4" max="4"/>
    <col width="45" customWidth="1" style="20" min="5" max="5"/>
    <col width="35" customWidth="1" style="20" min="6" max="6"/>
    <col width="14" customWidth="1" style="20" min="7" max="7"/>
    <col width="30" customWidth="1" style="20" min="8" max="8"/>
    <col width="30" customWidth="1" style="20" min="9" max="9"/>
    <col width="20" customWidth="1" style="20" min="10" max="10"/>
    <col width="20" customWidth="1" style="20" min="11" max="11"/>
    <col width="22" customWidth="1" style="20" min="12" max="12"/>
    <col width="16" customWidth="1" style="20" min="13" max="13"/>
  </cols>
  <sheetData>
    <row r="1">
      <c r="A1" s="27" t="inlineStr">
        <is>
          <t>Rendszerszervező  —  Demand Management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8" t="n"/>
    </row>
    <row r="2">
      <c r="A2" s="13" t="inlineStr">
        <is>
          <t>Az IT igénykezelés és követelménymenedzsment szakértője. Összekötő kapocs az üzleti igények és az IT megoldások között.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5" t="n"/>
    </row>
    <row r="3">
      <c r="A3" s="1" t="inlineStr">
        <is>
          <t>#</t>
        </is>
      </c>
      <c r="B3" s="1" t="inlineStr">
        <is>
          <t>Képzési terület</t>
        </is>
      </c>
      <c r="C3" s="1" t="inlineStr">
        <is>
          <t>Képzési tartalom</t>
        </is>
      </c>
      <c r="D3" s="1" t="inlineStr">
        <is>
          <t>Eszköz / Platform</t>
        </is>
      </c>
      <c r="E3" s="1" t="inlineStr">
        <is>
          <t>AI lehetőség</t>
        </is>
      </c>
      <c r="F3" s="1" t="inlineStr">
        <is>
          <t>Bizonyítvány / Kimenet</t>
        </is>
      </c>
      <c r="G3" s="1" t="inlineStr">
        <is>
          <t>Szint</t>
        </is>
      </c>
      <c r="H3" s="1" t="inlineStr">
        <is>
          <t>Megjegyzés</t>
        </is>
      </c>
      <c r="I3" s="30" t="inlineStr">
        <is>
          <t>Képzőhely / Provider</t>
        </is>
      </c>
      <c r="J3" s="30" t="inlineStr">
        <is>
          <t>Képzési díj (nettó Ft)</t>
        </is>
      </c>
      <c r="K3" s="30" t="inlineStr">
        <is>
          <t>Vizsgadíj (nettó Ft)</t>
        </is>
      </c>
      <c r="L3" s="30" t="inlineStr">
        <is>
          <t>Össz. költség/fő (Ft)</t>
        </is>
      </c>
      <c r="M3" s="30" t="inlineStr">
        <is>
          <t>Javasolt félév</t>
        </is>
      </c>
    </row>
    <row r="4">
      <c r="A4" s="23" t="inlineStr">
        <is>
          <t>ALAPSZINT  |  Foundation  —  Belépő szint (0–1 év tapasztalat)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5" t="n"/>
    </row>
    <row r="5" ht="78" customHeight="1" s="20">
      <c r="A5" s="9" t="n">
        <v>1</v>
      </c>
      <c r="B5" s="9" t="inlineStr">
        <is>
          <t>ITIL 4 Foundation</t>
        </is>
      </c>
      <c r="C5" s="9" t="inlineStr">
        <is>
          <t>IT service management alapfogalmak ITIL 4 keretrendszerben: négy dimenzió, Service Value System (SVS) és Service Value Chain (SVC); demand management és service request management helye az ITIL-ben; incidenskezelés, problémakezelés, változáskezelés, service desk, CMDB; SLA és OLA különbségei; vizsgafelkészítés: 40 tesztkérdés, practice tesztek, flashcardok; Axelos official tananyag</t>
        </is>
      </c>
      <c r="D5" s="9" t="inlineStr">
        <is>
          <t>ITIL 4 tankönyv (Axelos/PeopleCert), ITIL 4 Practice Papers, Whizlabs ITIL practice tests</t>
        </is>
      </c>
      <c r="E5" s="9" t="inlineStr">
        <is>
          <t>Claude: ITIL 4 dokumentumok és white paperek összefoglalása; vizsgafelkészítő kérdések generálása; Copilot Word: ITIL folyamatsablon és service request template generálás</t>
        </is>
      </c>
      <c r="F5" s="9" t="inlineStr">
        <is>
          <t>ITIL 4 Foundation vizsgabizonyítvány (PeopleCert) – 40 kérdés, 65% átmenő, 60 perc</t>
        </is>
      </c>
      <c r="G5" s="9" t="inlineStr">
        <is>
          <t>Alapszint</t>
        </is>
      </c>
      <c r="H5" s="9" t="inlineStr">
        <is>
          <t>Kötelező belépő képzés. PeopleCert official study guide ajánlott. Kb. 24–32 óra tanulás + vizsga.</t>
        </is>
      </c>
      <c r="I5" s="36" t="inlineStr">
        <is>
          <t>Masterfield / Training360</t>
        </is>
      </c>
      <c r="J5" s="37" t="n">
        <v>180000</v>
      </c>
      <c r="K5" s="37" t="n">
        <v>285000</v>
      </c>
      <c r="L5" s="38">
        <f>J5+K5</f>
        <v/>
      </c>
      <c r="M5" s="36" t="inlineStr">
        <is>
          <t>2025 H2</t>
        </is>
      </c>
    </row>
    <row r="6" ht="91" customHeight="1" s="20">
      <c r="A6" s="9" t="n">
        <v>2</v>
      </c>
      <c r="B6" s="9" t="inlineStr">
        <is>
          <t>Demand Management alapok</t>
        </is>
      </c>
      <c r="C6" s="9" t="inlineStr">
        <is>
          <t>Igényfelmérés és igénykezelés teljes módszertana: igény típusok (projekt, változás, fejlesztés, incidensből eredő); igény-életciklus (capture – assess – prioritize – approve – deliver – review); prioritizálási technikák: MoSCoW, RICE scoring, WSJF, ICE scoring összehasonlítása; backlog management Jira-ban és ServiceNow-ban; igény sablonok kidolgozása; demand review folyamat megszervezése; igénypipeline riportolása</t>
        </is>
      </c>
      <c r="D6" s="9" t="inlineStr">
        <is>
          <t>Jira (backlog, igény típusok), ServiceNow (Service Catalog, Demand Management), belső sablonok, Confluence</t>
        </is>
      </c>
      <c r="E6" s="9" t="inlineStr">
        <is>
          <t>Claude: RICE scoring automatizálása strukturált prompttal (impact/confidence/effort mezők); Jira Atlassian Intelligence: backlog összefoglalók és priorizálási trendek; Copilot Excel: igényprioritás heatmap vizualizáció</t>
        </is>
      </c>
      <c r="F6" s="9" t="inlineStr">
        <is>
          <t>Belső demand management onboarding igazolás + első 3 hónapban leadott és jóváhagyott igénydokumentum</t>
        </is>
      </c>
      <c r="G6" s="9" t="inlineStr">
        <is>
          <t>Alapszint</t>
        </is>
      </c>
      <c r="H6" s="9" t="inlineStr">
        <is>
          <t>ServiceNow és Jira együttes ismerete előnyt jelent. Ajánlott: min. 2 valódi igény teljes életcikluson végigkövetése. Kb. 12 óra.</t>
        </is>
      </c>
      <c r="I6" s="36" t="inlineStr">
        <is>
          <t>Belső képzés</t>
        </is>
      </c>
      <c r="J6" s="37" t="n">
        <v>0</v>
      </c>
      <c r="K6" s="37" t="n">
        <v>0</v>
      </c>
      <c r="L6" s="38">
        <f>J6+K6</f>
        <v/>
      </c>
      <c r="M6" s="36" t="inlineStr">
        <is>
          <t>2025 H2</t>
        </is>
      </c>
    </row>
    <row r="7" ht="78" customHeight="1" s="20">
      <c r="A7" s="9" t="n">
        <v>3</v>
      </c>
      <c r="B7" s="9" t="inlineStr">
        <is>
          <t>BPMN folyamatábrázolás</t>
        </is>
      </c>
      <c r="C7" s="9" t="inlineStr">
        <is>
          <t>Business Process Model and Notation (BPMN 2.0) szisztematikus megismerése: alapelemek (events, activities, gateways, swimlanes/pools); gateway típusok (exclusive, parallel, inclusive, event-based); subprocess-ek és call activities; error és compensation events; UML activity diagram összehasonlítás; BPMN validáció és best practices; valódi IT igénykezelési folyamat teljes modellezése</t>
        </is>
      </c>
      <c r="D7" s="9" t="inlineStr">
        <is>
          <t>Draw.io (BPMN shape-ekkel), Bizagi Modeler (ingyenes), Camunda Modeler, VS Code Draw.io plugin</t>
        </is>
      </c>
      <c r="E7" s="9" t="inlineStr">
        <is>
          <t>Draw.io MCP: Claude-dal generált BPMN diagramok természetes leírásból ("Rajzolj BPMN diagramot az IT igény jóváhagyási folyamathoz"); Bizagi szuggesztiók; diagramok automatikus Confluence-be exportálása</t>
        </is>
      </c>
      <c r="F7" s="9" t="inlineStr">
        <is>
          <t>Belső BPMN workshop elvégzési igazolás + min. 2 valódi folyamat elkészített BPMN diagramja</t>
        </is>
      </c>
      <c r="G7" s="9" t="inlineStr">
        <is>
          <t>Alapszint</t>
        </is>
      </c>
      <c r="H7" s="9" t="inlineStr">
        <is>
          <t>Bizagi Modeler ingyenes személyes verzió. Draw.io BPMN sablonok előre töltve. OMG BPMN 2.0 spec referencia. Kb. 8–10 óra.</t>
        </is>
      </c>
      <c r="I7" s="36" t="inlineStr">
        <is>
          <t>SZÁMALK / Training360</t>
        </is>
      </c>
      <c r="J7" s="37" t="n">
        <v>120000</v>
      </c>
      <c r="K7" s="37" t="n">
        <v>0</v>
      </c>
      <c r="L7" s="38">
        <f>J7+K7</f>
        <v/>
      </c>
      <c r="M7" s="36" t="inlineStr">
        <is>
          <t>2025 H2</t>
        </is>
      </c>
    </row>
    <row r="8" ht="91" customHeight="1" s="20">
      <c r="A8" s="9" t="n">
        <v>4</v>
      </c>
      <c r="B8" s="9" t="inlineStr">
        <is>
          <t>Stakeholder kommunikáció</t>
        </is>
      </c>
      <c r="C8" s="9" t="inlineStr">
        <is>
          <t>IT-üzleti kommunikáció és stakeholder menedzsment alapjai: stakeholder azonosítás (power/interest mátrix); kommunikációs stratégia kialakítása operatív, management és C-level szintekre; műszaki tartalom érthetővé tétele nem-IT hallgatóság számára; prezentációs technikák: Pyramid Principle, SCQA struktúra, executive summary írás; workshop-facilitálás alapjai; aktív hallgatás és kérdezéstechnika</t>
        </is>
      </c>
      <c r="D8" s="9" t="inlineStr">
        <is>
          <t>PowerPoint (vállalati sablonok), Miro, Teams, Confluence</t>
        </is>
      </c>
      <c r="E8" s="9" t="inlineStr">
        <is>
          <t>Copilot PowerPoint: prezentáció vázlat és tartalom generálása; Claude: executive summary és kommunikációs üzenet fogalmazása különböző stakeholder profilokra; Miro AI: workshop eredmény összefoglalása és action item lista</t>
        </is>
      </c>
      <c r="F8" s="9" t="inlineStr">
        <is>
          <t>Belső stakeholder kommunikációs tréning igazolás + bemutatott executive prezentáció mentori értékeléssel</t>
        </is>
      </c>
      <c r="G8" s="9" t="inlineStr">
        <is>
          <t>Alapszint</t>
        </is>
      </c>
      <c r="H8" s="9" t="inlineStr">
        <is>
          <t>Ajánlott: Barbara Minto – The Pyramid Principle. Szimulált stakeholder prezentáció mentori értékeléssel. Kb. 8 óra.</t>
        </is>
      </c>
      <c r="I8" s="36" t="inlineStr">
        <is>
          <t>ProMan / Training360</t>
        </is>
      </c>
      <c r="J8" s="37" t="n">
        <v>180000</v>
      </c>
      <c r="K8" s="37" t="n">
        <v>0</v>
      </c>
      <c r="L8" s="38">
        <f>J8+K8</f>
        <v/>
      </c>
      <c r="M8" s="36" t="inlineStr">
        <is>
          <t>2025 H2</t>
        </is>
      </c>
    </row>
    <row r="9">
      <c r="A9" s="22" t="inlineStr">
        <is>
          <t>KÖZÉPSZINT  |  Practitioner  —  Fejlesztő szint (1–3 év tapasztalat)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5" t="n"/>
    </row>
    <row r="10" ht="91" customHeight="1" s="20">
      <c r="A10" s="10" t="n">
        <v>5</v>
      </c>
      <c r="B10" s="10" t="inlineStr">
        <is>
          <t>Üzleti elemzés (Business Analysis)</t>
        </is>
      </c>
      <c r="C10" s="10" t="inlineStr">
        <is>
          <t>Üzleti elemzés komplex módszertana (BABOK v3 alapján): requirements elicitation technikák (interjú, workshop, megfigyelés, prototípus); dokumentáció típusok (BRS, SRS, FRS); use case-ek és UML use case diagramok; user story írás (INVEST kritériumok, Gherkin szintaxis); acceptance criteria meghatározás; gap analízis és AS-IS/TO-BE folyamatmodellek; requirements traceability mátrix (RTM); szoftverkövetelmény-kezelő eszközök (Jama, Azure DevOps)</t>
        </is>
      </c>
      <c r="D10" s="10" t="inlineStr">
        <is>
          <t>Confluence, Jira, Figma (wireframe), Azure DevOps, Jama Connect, Miro</t>
        </is>
      </c>
      <c r="E10" s="10" t="inlineStr">
        <is>
          <t>Figma MCP: UI wireframe generálás igényleírásból; Claude: user story generálás és elfogadási kritérium javaslat business brief alapján; Atlassian Intelligence: RTM frissítési javaslatok és hiányok azonosítása</t>
        </is>
      </c>
      <c r="F10" s="10" t="inlineStr">
        <is>
          <t>IIBA ECBA (Entry Certificate in Business Analysis) – 2 óra vizsgaidő, 50 kérdés; IIBA student membership ajánlott</t>
        </is>
      </c>
      <c r="G10" s="10" t="inlineStr">
        <is>
          <t>Középszint</t>
        </is>
      </c>
      <c r="H10" s="10" t="inlineStr">
        <is>
          <t>IIBA ECBA: 21 óra BA képzés előfeltétel. BABOK v3 tanulmányozása kötelező előkészület. Kb. 40 óra felkészülés.</t>
        </is>
      </c>
      <c r="I10" s="39" t="inlineStr">
        <is>
          <t>Training360 / IQEDU</t>
        </is>
      </c>
      <c r="J10" s="40" t="n">
        <v>250000</v>
      </c>
      <c r="K10" s="40" t="n">
        <v>74000</v>
      </c>
      <c r="L10" s="41">
        <f>J10+K10</f>
        <v/>
      </c>
      <c r="M10" s="39" t="inlineStr">
        <is>
          <t>2026 H1</t>
        </is>
      </c>
    </row>
    <row r="11" ht="78" customHeight="1" s="20">
      <c r="A11" s="10" t="n">
        <v>6</v>
      </c>
      <c r="B11" s="10" t="inlineStr">
        <is>
          <t>IT Portfolio &amp; kapacitásmenedzsment</t>
        </is>
      </c>
      <c r="C11" s="10" t="inlineStr">
        <is>
          <t>IT Portfolio és kapacitásmenedzsment: demand vs. capacity egyensúly; portfólió priorizálása (ROI, stratégiai illeszkedés, kockázat alapján); IT portfolio mátrix; resource planning: skillkészlet térkép, kapacitásallokáció; kapacitás előrejelzés historikus adatok alapján; what-if szimuláció; IT roadmap karbantartása és kommunikálása stakeholdereknek</t>
        </is>
      </c>
      <c r="D11" s="10" t="inlineStr">
        <is>
          <t>ServiceNow (IT Business Management), Power BI, MS Project Online, Confluence</t>
        </is>
      </c>
      <c r="E11" s="10" t="inlineStr">
        <is>
          <t>Power BI Copilot: kapacitáskihasználtság dashboard természetes lekérdezéssel; Claude: portfólió priorizálási javaslat scoring mátrix alapján; AI what-if szimuláció különböző erőforrás-forgatókönyvekre</t>
        </is>
      </c>
      <c r="F11" s="10" t="inlineStr">
        <is>
          <t>ITIL 4 Specialist: High Velocity IT (PeopleCert) + belső portfolio management workshop elvégzési igazolás</t>
        </is>
      </c>
      <c r="G11" s="10" t="inlineStr">
        <is>
          <t>Középszint</t>
        </is>
      </c>
      <c r="H11" s="10" t="inlineStr">
        <is>
          <t>ServiceNow ITBM modul önálló tanulással megismerhető. Power BI PL-300 párhuzamosan ajánlott. Kb. 20 óra.</t>
        </is>
      </c>
      <c r="I11" s="39" t="inlineStr">
        <is>
          <t>Masterfield</t>
        </is>
      </c>
      <c r="J11" s="40" t="n">
        <v>180000</v>
      </c>
      <c r="K11" s="40" t="n">
        <v>0</v>
      </c>
      <c r="L11" s="41">
        <f>J11+K11</f>
        <v/>
      </c>
      <c r="M11" s="39" t="inlineStr">
        <is>
          <t>2026 H1</t>
        </is>
      </c>
    </row>
    <row r="12" ht="91" customHeight="1" s="20">
      <c r="A12" s="10" t="n">
        <v>7</v>
      </c>
      <c r="B12" s="10" t="inlineStr">
        <is>
          <t>Adatvezérelt döntéstámogatás</t>
        </is>
      </c>
      <c r="C12" s="10" t="inlineStr">
        <is>
          <t>Adatalapú döntéshozatal IT kontextusban: KPI és OKR meghatározás, mérési keretrendszer; demand riportok tervezése (heti/havi/negyedéves); trendelemzés és szezonalitás azonosítása; Power BI alapok: adatmodell, DAX alapfüggvények, interaktív dashboard; adatvizualizáció alapelvei (Tufte); Excel haladó: PowerQuery, PivotTable, XLOOKUP; ServiceNow riportok és dashboardok konfigurálása</t>
        </is>
      </c>
      <c r="D12" s="10" t="inlineStr">
        <is>
          <t>Power BI Desktop, Power BI Service, Excel (PowerQuery), ServiceNow Analytics, MS Learn</t>
        </is>
      </c>
      <c r="E12" s="10" t="inlineStr">
        <is>
          <t>Power BI Copilot: természetes nyelvű lekérdezés ("Top 10 igény az elmúlt 3 hónapban kategória szerint"), automatikus insight-ok és anomália detektálás; Claude: KPI definíciók és mérési módszertan javaslat</t>
        </is>
      </c>
      <c r="F12" s="10" t="inlineStr">
        <is>
          <t>PL-300 Microsoft Power BI Data Analyst Associate + belső BI riportolási workshop</t>
        </is>
      </c>
      <c r="G12" s="10" t="inlineStr">
        <is>
          <t>Középszint</t>
        </is>
      </c>
      <c r="H12" s="10" t="inlineStr">
        <is>
          <t>PL-300 vizsgafelkészítő: MS Learn ingyenes learning path. ServiceNow Analytics self-paced. Kb. 30 óra.</t>
        </is>
      </c>
      <c r="I12" s="39" t="inlineStr">
        <is>
          <t>Masterfield / Training360</t>
        </is>
      </c>
      <c r="J12" s="40" t="n">
        <v>220000</v>
      </c>
      <c r="K12" s="40" t="n">
        <v>63000</v>
      </c>
      <c r="L12" s="41">
        <f>J12+K12</f>
        <v/>
      </c>
      <c r="M12" s="39" t="inlineStr">
        <is>
          <t>2026 H1</t>
        </is>
      </c>
    </row>
    <row r="13" ht="78" customHeight="1" s="20">
      <c r="A13" s="10" t="n">
        <v>8</v>
      </c>
      <c r="B13" s="10" t="inlineStr">
        <is>
          <t>Agile demand kezelés</t>
        </is>
      </c>
      <c r="C13" s="10" t="inlineStr">
        <is>
          <t>Agilis keretrendszer és demand management összekapcsolása: SAFe 6.0 – ART, PI Planning folyamata; Program Backlog vs. Team Backlog különbség; WSJF prioritizálás alkalmazása demand kontextusban; Feature és Story hierarchia; Lean Portfolio Management; demand becsatornázása agilis csapatokhoz; OKR-ek backlog szintre fordítása; hibrid (waterfall + agile) igénykezelés</t>
        </is>
      </c>
      <c r="D13" s="10" t="inlineStr">
        <is>
          <t>Jira (Advanced Roadmaps), Azure DevOps, Miro, Confluence, Jira Align</t>
        </is>
      </c>
      <c r="E13" s="10" t="inlineStr">
        <is>
          <t>Miro AI + Claude MCP: PI Planning board automatikus strukturálása (features, team allokáció); Claude: WSJF számítás és priorizálási javaslat scoring mezőkből; Jira Atlassian Intelligence: sprint velocity és demand teljesítés elemzés</t>
        </is>
      </c>
      <c r="F13" s="10" t="inlineStr">
        <is>
          <t>SAFe Practitioner (SP) – SAFe 6.0 (Scaled Agile Inc.) – 45 kérdés, 77% átmenő, open book, 1 óra</t>
        </is>
      </c>
      <c r="G13" s="10" t="inlineStr">
        <is>
          <t>Középszint</t>
        </is>
      </c>
      <c r="H13" s="10" t="inlineStr">
        <is>
          <t>SAFe SP: Scaled Agile online tananyag ingyenesen elérhető. Open book – SAFe big picture jól kell ismerni. Kb. 16 óra.</t>
        </is>
      </c>
      <c r="I13" s="39" t="inlineStr">
        <is>
          <t>ProMan / SZÁMALK</t>
        </is>
      </c>
      <c r="J13" s="40" t="n">
        <v>180000</v>
      </c>
      <c r="K13" s="40" t="n">
        <v>204000</v>
      </c>
      <c r="L13" s="41">
        <f>J13+K13</f>
        <v/>
      </c>
      <c r="M13" s="39" t="inlineStr">
        <is>
          <t>2026 H1</t>
        </is>
      </c>
    </row>
    <row r="14">
      <c r="A14" s="25" t="inlineStr">
        <is>
          <t>HALADÓ SZINT  |  Expert / Lead  —  Mester szint (3+ év tapasztalat)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5" t="n"/>
    </row>
    <row r="15" ht="78" customHeight="1" s="20">
      <c r="A15" s="11" t="n">
        <v>9</v>
      </c>
      <c r="B15" s="11" t="inlineStr">
        <is>
          <t>IT Strategy és Portfolio Management</t>
        </is>
      </c>
      <c r="C15" s="11" t="inlineStr">
        <is>
          <t>Stratégiai IT tervezés és portfolio irányítás mester szinten: capability mapping (üzleti képességek és IT rendszerek illesztése); IT-üzlet stratégiai illeszkedés; business case és investment case készítése (NPV, IRR, ROI); IT cost transparency; tech debt portfólió szinten; capability roadmap és technológiai életciklus; IT operating model kialakítása; enterprise portfolio Kanban</t>
        </is>
      </c>
      <c r="D15" s="11" t="inlineStr">
        <is>
          <t>TOGAF (Archimate), Power BI, Confluence, MS Project Online, ServiceNow ITBM</t>
        </is>
      </c>
      <c r="E15" s="11" t="inlineStr">
        <is>
          <t>Claude + MCP: automatikus portfólió státuszriport generálása Confluence és Jira adatokból; Power BI Copilot: portfolió egészség executive dashboard; AI-alapú tech debt értékelés és priorizálás</t>
        </is>
      </c>
      <c r="F15" s="11" t="inlineStr">
        <is>
          <t>TOGAF Foundation (Level 1) VAGY BCS Business Analysis Professional + belső portfolio leadership program</t>
        </is>
      </c>
      <c r="G15" s="11" t="inlineStr">
        <is>
          <t>Haladó szint</t>
        </is>
      </c>
      <c r="H15" s="11" t="inlineStr">
        <is>
          <t>Gartner Enterprise Architecture kutatások tanulmányozása ajánlott. Strategic advisor szerepkörhöz alapkompetencia. Kb. 30+ óra.</t>
        </is>
      </c>
      <c r="I15" s="42" t="inlineStr">
        <is>
          <t>Bdat.ACADEMY</t>
        </is>
      </c>
      <c r="J15" s="43" t="n">
        <v>350000</v>
      </c>
      <c r="K15" s="43" t="n">
        <v>209000</v>
      </c>
      <c r="L15" s="44">
        <f>J15+K15</f>
        <v/>
      </c>
      <c r="M15" s="42" t="inlineStr">
        <is>
          <t>2026 H2</t>
        </is>
      </c>
    </row>
    <row r="16" ht="91" customHeight="1" s="20">
      <c r="A16" s="11" t="n">
        <v>10</v>
      </c>
      <c r="B16" s="11" t="inlineStr">
        <is>
          <t>Szervezeti design és governance</t>
        </is>
      </c>
      <c r="C16" s="11" t="inlineStr">
        <is>
          <t>Szervezeti struktúra és IT governance tervezés: operating model típusok (centralizált, decentralizált, federated); IT governance keretrendszerek (COBIT 2019, ISO 38500); RACI/RASCI/DACI döntési mátrix; Team Topologies elvek (stream-aligned, enabling, platform, complicated subsystem); demand governance fórum megszervezése; Architecture és Change Advisory Board működtetése; IT értékteremtési modell vizualizálása</t>
        </is>
      </c>
      <c r="D16" s="11" t="inlineStr">
        <is>
          <t>Miro, Confluence, Figma, Archi (COBIT/Archimate elemzéshez), Visio</t>
        </is>
      </c>
      <c r="E16" s="11" t="inlineStr">
        <is>
          <t>Figma MCP: operating model diagram AI-alapú generálása és frissítése; Claude: RACI mátrix teljességellenőrzése és hiányok azonosítása; Miro AI: szervezeti struktúra workshop összefoglalása és action item lista</t>
        </is>
      </c>
      <c r="F16" s="11" t="inlineStr">
        <is>
          <t>Belső leadership és governance program + COBIT 2019 Foundation (ISACA) opcionálisan</t>
        </is>
      </c>
      <c r="G16" s="11" t="inlineStr">
        <is>
          <t>Haladó szint</t>
        </is>
      </c>
      <c r="H16" s="11" t="inlineStr">
        <is>
          <t>Ajánlott: Team Topologies (Skelton &amp; Pais). COBIT 2019 Foundation 1 napra tömöríthető intenzív képzés. Kb. 20 óra.</t>
        </is>
      </c>
      <c r="I16" s="42" t="inlineStr">
        <is>
          <t>ISACA Budapest / Training360</t>
        </is>
      </c>
      <c r="J16" s="43" t="n">
        <v>250000</v>
      </c>
      <c r="K16" s="43" t="n">
        <v>66500</v>
      </c>
      <c r="L16" s="44">
        <f>J16+K16</f>
        <v/>
      </c>
      <c r="M16" s="42" t="inlineStr">
        <is>
          <t>2026 H2</t>
        </is>
      </c>
    </row>
    <row r="17" ht="91" customHeight="1" s="20">
      <c r="A17" s="11" t="n">
        <v>11</v>
      </c>
      <c r="B17" s="11" t="inlineStr">
        <is>
          <t>Változásmenedzsment</t>
        </is>
      </c>
      <c r="C17" s="11" t="inlineStr">
        <is>
          <t>Változásvezetés módszertanok: Kotter 8-lépéses modell; ADKAR modell (Awareness-Desire-Knowledge-Ability-Reinforcement) és Prosci módszertan; stakeholder engagement és érintetti térkép; kommunikációs stratégia változáshoz; training és adoption plan; ellenállás kezelése; go-live és hypercare tervezés; változásmenedzsment mérése (adoption KPI-ok); OCM integráció projektmenedzsmentbe</t>
        </is>
      </c>
      <c r="D17" s="11" t="inlineStr">
        <is>
          <t>Miro, Teams, Confluence, Prosci ADKAR toolkit</t>
        </is>
      </c>
      <c r="E17" s="11" t="inlineStr">
        <is>
          <t>Claude: change impact assessment tervezet és kommunikációs üzenetek munkakörönkénti adaptálása; Copilot Word: training anyagok és FAQ generálása; Miro AI: stakeholder heatmap és ADKAR vizualizáció</t>
        </is>
      </c>
      <c r="F17" s="11" t="inlineStr">
        <is>
          <t>Prosci Change Management Certification (3 napos képzés + ADKAR project) VAGY APMG Change Management Foundation</t>
        </is>
      </c>
      <c r="G17" s="11" t="inlineStr">
        <is>
          <t>Haladó szint</t>
        </is>
      </c>
      <c r="H17" s="11" t="inlineStr">
        <is>
          <t>Prosci certification presztízse magas, de költséges. APMG olcsóbb alternatíva. Minden haladó IT szakértőnek ajánlott. Kb. 24–40 óra.</t>
        </is>
      </c>
      <c r="I17" s="42" t="inlineStr">
        <is>
          <t>Prosci / ProMan</t>
        </is>
      </c>
      <c r="J17" s="43" t="n">
        <v>600000</v>
      </c>
      <c r="K17" s="43" t="n">
        <v>0</v>
      </c>
      <c r="L17" s="44">
        <f>J17+K17</f>
        <v/>
      </c>
      <c r="M17" s="42" t="inlineStr">
        <is>
          <t>2026 H2</t>
        </is>
      </c>
    </row>
    <row r="18">
      <c r="A18" s="48" t="n"/>
      <c r="B18" s="49" t="inlineStr">
        <is>
          <t>Alapszint összesen</t>
        </is>
      </c>
      <c r="C18" s="48" t="n"/>
      <c r="D18" s="48" t="n"/>
      <c r="E18" s="48" t="n"/>
      <c r="F18" s="48" t="n"/>
      <c r="G18" s="48" t="n"/>
      <c r="H18" s="48" t="n"/>
      <c r="I18" s="48" t="n"/>
      <c r="J18" s="50">
        <f>SUM(J5:J8)</f>
        <v/>
      </c>
      <c r="K18" s="50">
        <f>SUM(K5:K8)</f>
        <v/>
      </c>
      <c r="L18" s="50">
        <f>SUM(L5:L8)</f>
        <v/>
      </c>
      <c r="M18" s="48" t="n"/>
    </row>
    <row r="19">
      <c r="A19" s="51" t="n"/>
      <c r="B19" s="52" t="inlineStr">
        <is>
          <t>Középszint összesen</t>
        </is>
      </c>
      <c r="C19" s="51" t="n"/>
      <c r="D19" s="51" t="n"/>
      <c r="E19" s="51" t="n"/>
      <c r="F19" s="51" t="n"/>
      <c r="G19" s="51" t="n"/>
      <c r="H19" s="51" t="n"/>
      <c r="I19" s="51" t="n"/>
      <c r="J19" s="53">
        <f>SUM(J10:J13)</f>
        <v/>
      </c>
      <c r="K19" s="53">
        <f>SUM(K10:K13)</f>
        <v/>
      </c>
      <c r="L19" s="53">
        <f>SUM(L10:L13)</f>
        <v/>
      </c>
      <c r="M19" s="51" t="n"/>
    </row>
    <row r="20">
      <c r="A20" s="54" t="n"/>
      <c r="B20" s="55" t="inlineStr">
        <is>
          <t>Haladó szint összesen</t>
        </is>
      </c>
      <c r="C20" s="54" t="n"/>
      <c r="D20" s="54" t="n"/>
      <c r="E20" s="54" t="n"/>
      <c r="F20" s="54" t="n"/>
      <c r="G20" s="54" t="n"/>
      <c r="H20" s="54" t="n"/>
      <c r="I20" s="54" t="n"/>
      <c r="J20" s="56">
        <f>SUM(J15:J17)</f>
        <v/>
      </c>
      <c r="K20" s="56">
        <f>SUM(K15:K17)</f>
        <v/>
      </c>
      <c r="L20" s="56">
        <f>SUM(L15:L17)</f>
        <v/>
      </c>
      <c r="M20" s="54" t="n"/>
    </row>
    <row r="21">
      <c r="A21" s="57" t="n"/>
      <c r="B21" s="58" t="inlineStr">
        <is>
          <t>TELJES ÚTVONAL ÖSSZESEN</t>
        </is>
      </c>
      <c r="C21" s="57" t="n"/>
      <c r="D21" s="57" t="n"/>
      <c r="E21" s="57" t="n"/>
      <c r="F21" s="57" t="n"/>
      <c r="G21" s="57" t="n"/>
      <c r="H21" s="57" t="n"/>
      <c r="I21" s="57" t="n"/>
      <c r="J21" s="59">
        <f>J18+J19+J20</f>
        <v/>
      </c>
      <c r="K21" s="59">
        <f>K18+K19+K20</f>
        <v/>
      </c>
      <c r="L21" s="59">
        <f>L18+L19+L20</f>
        <v/>
      </c>
      <c r="M21" s="57" t="n"/>
    </row>
  </sheetData>
  <autoFilter ref="A3:H3"/>
  <mergeCells count="5">
    <mergeCell ref="A14:M14"/>
    <mergeCell ref="A1:M1"/>
    <mergeCell ref="A9:M9"/>
    <mergeCell ref="A4:M4"/>
    <mergeCell ref="A2:M2"/>
  </mergeCells>
  <pageMargins left="0.75" right="0.75" top="1" bottom="1" header="0.5" footer="0.5"/>
  <headerFooter>
    <oddHeader>&amp;C&amp;"Calibri"&amp;1 &amp;K000000 Internal#_x000d_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A1:M21"/>
  <sheetViews>
    <sheetView workbookViewId="0">
      <pane ySplit="3" topLeftCell="A9" activePane="bottomLeft" state="frozen"/>
      <selection pane="bottomLeft" activeCell="C7" sqref="C7"/>
    </sheetView>
  </sheetViews>
  <sheetFormatPr baseColWidth="8" defaultRowHeight="14.5"/>
  <cols>
    <col width="5" customWidth="1" style="20" min="1" max="1"/>
    <col width="28" customWidth="1" style="20" min="2" max="2"/>
    <col width="55" customWidth="1" style="20" min="3" max="3"/>
    <col width="30" customWidth="1" style="20" min="4" max="4"/>
    <col width="45" customWidth="1" style="20" min="5" max="5"/>
    <col width="35" customWidth="1" style="20" min="6" max="6"/>
    <col width="14" customWidth="1" style="20" min="7" max="7"/>
    <col width="30" customWidth="1" style="20" min="8" max="8"/>
    <col width="30" customWidth="1" style="20" min="9" max="9"/>
    <col width="20" customWidth="1" style="20" min="10" max="10"/>
    <col width="20" customWidth="1" style="20" min="11" max="11"/>
    <col width="22" customWidth="1" style="20" min="12" max="12"/>
    <col width="16" customWidth="1" style="20" min="13" max="13"/>
  </cols>
  <sheetData>
    <row r="1">
      <c r="A1" s="27" t="inlineStr">
        <is>
          <t>IT SLA Management &amp; Risk  —  Szolgáltatásszint és Kockázatmenedzsment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8" t="n"/>
    </row>
    <row r="2">
      <c r="A2" s="13" t="inlineStr">
        <is>
          <t>Az IT szolgáltatások minőségének mérője és a kockázatok kezelője. Biztosítja, hogy az IT szállítói és belső szolgáltatások a megállapodott szinten működjenek.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5" t="n"/>
    </row>
    <row r="3">
      <c r="A3" s="1" t="inlineStr">
        <is>
          <t>#</t>
        </is>
      </c>
      <c r="B3" s="1" t="inlineStr">
        <is>
          <t>Képzési terület</t>
        </is>
      </c>
      <c r="C3" s="1" t="inlineStr">
        <is>
          <t>Képzési tartalom</t>
        </is>
      </c>
      <c r="D3" s="1" t="inlineStr">
        <is>
          <t>Eszköz / Platform</t>
        </is>
      </c>
      <c r="E3" s="1" t="inlineStr">
        <is>
          <t>AI lehetőség</t>
        </is>
      </c>
      <c r="F3" s="1" t="inlineStr">
        <is>
          <t>Bizonyítvány / Kimenet</t>
        </is>
      </c>
      <c r="G3" s="1" t="inlineStr">
        <is>
          <t>Szint</t>
        </is>
      </c>
      <c r="H3" s="1" t="inlineStr">
        <is>
          <t>Megjegyzés</t>
        </is>
      </c>
      <c r="I3" s="30" t="inlineStr">
        <is>
          <t>Képzőhely / Provider</t>
        </is>
      </c>
      <c r="J3" s="30" t="inlineStr">
        <is>
          <t>Képzési díj (nettó Ft)</t>
        </is>
      </c>
      <c r="K3" s="30" t="inlineStr">
        <is>
          <t>Vizsgadíj (nettó Ft)</t>
        </is>
      </c>
      <c r="L3" s="30" t="inlineStr">
        <is>
          <t>Össz. költség/fő (Ft)</t>
        </is>
      </c>
      <c r="M3" s="30" t="inlineStr">
        <is>
          <t>Javasolt félév</t>
        </is>
      </c>
    </row>
    <row r="4">
      <c r="A4" s="23" t="inlineStr">
        <is>
          <t>ALAPSZINT  |  Foundation  —  Belépő szint (0–1 év tapasztalat)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5" t="n"/>
    </row>
    <row r="5" ht="78" customHeight="1" s="20">
      <c r="A5" s="9" t="n">
        <v>1</v>
      </c>
      <c r="B5" s="9" t="inlineStr">
        <is>
          <t>ITIL 4 Foundation</t>
        </is>
      </c>
      <c r="C5" s="9" t="inlineStr">
        <is>
          <t>IT service management alapfogalmak SLA fókusszal: ITIL 4 négy dimenzió és Service Value System; Service Level Management (SLM) practice részletesen: SLA/OLA/UC struktúra és hierarchia; SLA szövegezési elvek (kimenet- vs. tevékenységalapú); incidenskezelés és problémakezelés; vizsgafelkészítés: 40 tesztkérdés, practice tesztek, flashcardok</t>
        </is>
      </c>
      <c r="D5" s="9" t="inlineStr">
        <is>
          <t>ITIL 4 tankönyv, PeopleCert</t>
        </is>
      </c>
      <c r="E5" s="9" t="inlineStr">
        <is>
          <t>Claude: ITIL 4 white paperek összefoglalása; SLA sablon és metrika javaslat generálása munkakör alapján; Copilot Word: vizsgafelkészítő kvíz generálás ITIL fogalmakból</t>
        </is>
      </c>
      <c r="F5" s="9" t="inlineStr">
        <is>
          <t>ITIL 4 Foundation vizsgabizonyítvány (PeopleCert) – 40 kérdés, 65% átmenő, 60 perc</t>
        </is>
      </c>
      <c r="G5" s="9" t="inlineStr">
        <is>
          <t>Alapszint</t>
        </is>
      </c>
      <c r="H5" s="9" t="inlineStr">
        <is>
          <t>Kötelező belépő képzés. Axelos/PeopleCert official material ajánlott. Kb. 24–32 óra tanulás + vizsga.</t>
        </is>
      </c>
      <c r="I5" s="36" t="inlineStr">
        <is>
          <t>Masterfield / Training360</t>
        </is>
      </c>
      <c r="J5" s="37" t="n">
        <v>180000</v>
      </c>
      <c r="K5" s="37" t="n">
        <v>285000</v>
      </c>
      <c r="L5" s="38">
        <f>J5+K5</f>
        <v/>
      </c>
      <c r="M5" s="36" t="inlineStr">
        <is>
          <t>2025 H2</t>
        </is>
      </c>
    </row>
    <row r="6" ht="78" customHeight="1" s="20">
      <c r="A6" s="9" t="n">
        <v>2</v>
      </c>
      <c r="B6" s="9" t="inlineStr">
        <is>
          <t>SLA metrikák és riporting</t>
        </is>
      </c>
      <c r="C6" s="9" t="inlineStr">
        <is>
          <t>SLA metrikák mélyreható megismerése: KPI vs. KQI különbség; availability számítás (99.9% = 8.76 óra leállás/év); MTTR (Mean Time to Repair), MTBF (Mean Time Between Failures), MTTA értelmezése; response vs. resolution time SLA szintek meghatározása; SLA breach és near-miss nyomon követése; real-time SLA monitoring dashboard tervezés; havi és negyedéves SLA review folyamat megszervezése</t>
        </is>
      </c>
      <c r="D6" s="9" t="inlineStr">
        <is>
          <t>ServiceNow (SLM modul), Power BI, Excel, Azure Monitor / Grafana</t>
        </is>
      </c>
      <c r="E6" s="9" t="inlineStr">
        <is>
          <t>Power BI Copilot: SLA teljesítmény dashboard természetes lekérdezéssel; automatikus SLA breach riasztások és anomália detektálás; Claude: SLA riport szöveg generálás nyers adatokból és trendmagyarázat</t>
        </is>
      </c>
      <c r="F6" s="9" t="inlineStr">
        <is>
          <t>Belső SLA riporting workshop elvégzési igazolás + elkészített SLA dashboard bemutatása</t>
        </is>
      </c>
      <c r="G6" s="9" t="inlineStr">
        <is>
          <t>Alapszint</t>
        </is>
      </c>
      <c r="H6" s="9" t="inlineStr">
        <is>
          <t>ServiceNow SLM modul self-paced. Power BI PL-300 párhuzamosan ajánlott. Kb. 16 óra.</t>
        </is>
      </c>
      <c r="I6" s="36" t="inlineStr">
        <is>
          <t>Belső képzés / Training360</t>
        </is>
      </c>
      <c r="J6" s="37" t="n">
        <v>120000</v>
      </c>
      <c r="K6" s="37" t="n">
        <v>0</v>
      </c>
      <c r="L6" s="38">
        <f>J6+K6</f>
        <v/>
      </c>
      <c r="M6" s="36" t="inlineStr">
        <is>
          <t>2025 H2</t>
        </is>
      </c>
    </row>
    <row r="7" ht="91" customHeight="1" s="20">
      <c r="A7" s="9" t="n">
        <v>3</v>
      </c>
      <c r="B7" s="9" t="inlineStr">
        <is>
          <t>Kockázatkezelés alapjai</t>
        </is>
      </c>
      <c r="C7" s="9" t="inlineStr">
        <is>
          <t>Kockázatmenedzsment alapfogalmak IT kontextusban: kockázat, veszély (threat), sebezhetőség (vulnerability), kockázati étvágy és tolerancia; kockázatkezelési folyamat: azonosítás, kvalitatív mátrix elemzés, kezelés (avoid/mitigate/transfer/accept), monitorozás; kockázati nyilvántartás (risk register) felépítése és karbantartása; top IT kockázatok (kiberbiztonság, BCP, szállítói kockázat, compliance); kockázati jelentés készítése</t>
        </is>
      </c>
      <c r="D7" s="9" t="inlineStr">
        <is>
          <t>Excel (kockázati nyilvántartás sablon), SharePoint, belső GRC platform, RSA Archer (alapismeretek)</t>
        </is>
      </c>
      <c r="E7" s="9" t="inlineStr">
        <is>
          <t>Claude: kockázati leírások NLP-alapú kategorizálása és súlyozási javaslat; kockázati forgatókönyv leírások automatikus bővítése; Copilot Excel: kockázati heatmap és priority mátrix vizualizáció</t>
        </is>
      </c>
      <c r="F7" s="9" t="inlineStr">
        <is>
          <t>Belső risk awareness tréning elvégzési igazolás + kockázati nyilvántartás elkészítése valódi projektre</t>
        </is>
      </c>
      <c r="G7" s="9" t="inlineStr">
        <is>
          <t>Alapszint</t>
        </is>
      </c>
      <c r="H7" s="9" t="inlineStr">
        <is>
          <t>ISACA és IRM (Institute of Risk Management) ingyenes bevezetői anyagok online. Kb. 8 óra.</t>
        </is>
      </c>
      <c r="I7" s="36" t="inlineStr">
        <is>
          <t>ISACA Budapest / Training360</t>
        </is>
      </c>
      <c r="J7" s="37" t="n">
        <v>120000</v>
      </c>
      <c r="K7" s="37" t="n">
        <v>0</v>
      </c>
      <c r="L7" s="38">
        <f>J7+K7</f>
        <v/>
      </c>
      <c r="M7" s="36" t="inlineStr">
        <is>
          <t>2025 H2</t>
        </is>
      </c>
    </row>
    <row r="8" ht="91" customHeight="1" s="20">
      <c r="A8" s="9" t="n">
        <v>4</v>
      </c>
      <c r="B8" s="9" t="inlineStr">
        <is>
          <t>Compliance és vállalati szabályzatok</t>
        </is>
      </c>
      <c r="C8" s="9" t="inlineStr">
        <is>
          <t>Vállalati IT megfelelés és szabályozói környezet: belső IT szabályzatok struktúrája és hierarchiája; GDPR alapok IT rendszerek szempontjából; DORA (Digital Operational Resilience Act) bevezető; ISO 27001 alapfogalmak; belső audit folyamat és compliance monitoring; policy exception management; megfelelési checklist karbantartása; biztosítói szektorra vonatkozó előírások (Solvency II, MNB elvárások)</t>
        </is>
      </c>
      <c r="D8" s="9" t="inlineStr">
        <is>
          <t>Confluence, SharePoint, belső GRC platform, OneTrust (alapismeretek)</t>
        </is>
      </c>
      <c r="E8" s="9" t="inlineStr">
        <is>
          <t>Copilot Word: policy dokumentumok összefoglalása és megfelelési checklist generálás; Claude: policy gap elemzés – melyik szabályozónak nem felelünk meg; EU AI Act bevezető összefoglaló generálása</t>
        </is>
      </c>
      <c r="F8" s="9" t="inlineStr">
        <is>
          <t>Belső compliance e-learning + teszt elvégzési igazolás; opcionálisan: CIPP/E (IAPP) GDPR alapismeretek</t>
        </is>
      </c>
      <c r="G8" s="9" t="inlineStr">
        <is>
          <t>Alapszint</t>
        </is>
      </c>
      <c r="H8" s="9" t="inlineStr">
        <is>
          <t>DORA 2025. január 17-től teljes hatályú. MNB elvárások követése kiemelt fontosságú biztosítói szektorban. Kb. 8 óra.</t>
        </is>
      </c>
      <c r="I8" s="36" t="inlineStr">
        <is>
          <t>KÜRT Akadémia / Training360</t>
        </is>
      </c>
      <c r="J8" s="37" t="n">
        <v>150000</v>
      </c>
      <c r="K8" s="37" t="n">
        <v>0</v>
      </c>
      <c r="L8" s="38">
        <f>J8+K8</f>
        <v/>
      </c>
      <c r="M8" s="36" t="inlineStr">
        <is>
          <t>2025 H2</t>
        </is>
      </c>
    </row>
    <row r="9">
      <c r="A9" s="22" t="inlineStr">
        <is>
          <t>KÖZÉPSZINT  |  Practitioner  —  Fejlesztő szint (1–3 év tapasztalat)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5" t="n"/>
    </row>
    <row r="10" ht="78" customHeight="1" s="20">
      <c r="A10" s="10" t="n">
        <v>5</v>
      </c>
      <c r="B10" s="10" t="inlineStr">
        <is>
          <t>SLA tervezés és tárgyalás</t>
        </is>
      </c>
      <c r="C10" s="10" t="inlineStr">
        <is>
          <t>SLA tervezés és szállítói tárgyalás haladó szinten: SLA struktúra (multi-tier: corporate, customer, service szint); OLA és UC illesztése az SLA-hoz; SLA szövegezési technikák (outcome-based vs. input-based); tárgyalási stratégiák (BATNA, érdekegyeztetés); SLA exception és escalation kezelési folyamat; penalty/credit mechanizmusok; SLA felülvizsgálati ütemterv; szállítói teljesítmény scorecard tervezése</t>
        </is>
      </c>
      <c r="D10" s="10" t="inlineStr">
        <is>
          <t>ServiceNow (SLM modul), Confluence, Word, Excel (scorecard sablonok)</t>
        </is>
      </c>
      <c r="E10" s="10" t="inlineStr">
        <is>
          <t>Claude: SLA szöveg tervezet generálás vállalati igényekből; szállítói SLA-k összehasonlítása; tárgyalási pontok listájának generálása; Copilot: SLA prezentáció vázlat és executive summary</t>
        </is>
      </c>
      <c r="F10" s="10" t="inlineStr">
        <is>
          <t>ITIL 4 Specialist: Drive Stakeholder Value (PeopleCert) + belső SLA tárgyalás workshop</t>
        </is>
      </c>
      <c r="G10" s="10" t="inlineStr">
        <is>
          <t>Középszint</t>
        </is>
      </c>
      <c r="H10" s="10" t="inlineStr">
        <is>
          <t>DSV vizsga: 30 kérdés, 70% átmenő. Közvetlen SLA tárgyalási tapasztalat felbecsülhetetlen. Kb. 20 óra.</t>
        </is>
      </c>
      <c r="I10" s="39" t="inlineStr">
        <is>
          <t>Masterfield</t>
        </is>
      </c>
      <c r="J10" s="40" t="n">
        <v>220000</v>
      </c>
      <c r="K10" s="40" t="n">
        <v>0</v>
      </c>
      <c r="L10" s="41">
        <f>J10+K10</f>
        <v/>
      </c>
      <c r="M10" s="39" t="inlineStr">
        <is>
          <t>2026 H1</t>
        </is>
      </c>
    </row>
    <row r="11" ht="78" customHeight="1" s="20">
      <c r="A11" s="10" t="n">
        <v>6</v>
      </c>
      <c r="B11" s="10" t="inlineStr">
        <is>
          <t>IT kockázatmenedzsment módszertan</t>
        </is>
      </c>
      <c r="C11" s="10" t="inlineStr">
        <is>
          <t>IT kockázatmenedzsment módszertanok: ISO/IEC 27005 szerinti kockázatértékelési folyamat; NIST SP 800-30 keretrendszer; threat modeling (STRIDE, PASTA); BCP/DRP és IT kockázat kapcsolata; kockázatkezelési tervek kidolgozása; KRI (Key Risk Indicators) meghatározása; rendszeres risk review cycle; third-party IT kockázatok kezelése (4th party risk)</t>
        </is>
      </c>
      <c r="D11" s="10" t="inlineStr">
        <is>
          <t>RSA Archer, ServiceNow GRC, Excel, MITRE ATT&amp;CK</t>
        </is>
      </c>
      <c r="E11" s="10" t="inlineStr">
        <is>
          <t>AI threat intelligence összefoglalók; Claude: kockázati forgatókönyv elemzés és "mi lenne ha" szimuláció; risk register frissítési javaslatok; Copilot: külső kiberbiztonsági hírek napi összefoglalója</t>
        </is>
      </c>
      <c r="F11" s="10" t="inlineStr">
        <is>
          <t>ISO 27001 Foundation VAGY ITIL 4 Specialist: Risk Practice + belső kockázatértékelési workshop</t>
        </is>
      </c>
      <c r="G11" s="10" t="inlineStr">
        <is>
          <t>Középszint</t>
        </is>
      </c>
      <c r="H11" s="10" t="inlineStr">
        <is>
          <t>ISO 27001 Lead Implementer párhuzamosan tanulmányozható. CRISC felé vezető út közbülső lépése. Kb. 20 óra.</t>
        </is>
      </c>
      <c r="I11" s="39" t="inlineStr">
        <is>
          <t>ISACA Budapest / euzert.hu</t>
        </is>
      </c>
      <c r="J11" s="40" t="n">
        <v>250000</v>
      </c>
      <c r="K11" s="40" t="n">
        <v>190000</v>
      </c>
      <c r="L11" s="41">
        <f>J11+K11</f>
        <v/>
      </c>
      <c r="M11" s="39" t="inlineStr">
        <is>
          <t>2026 H1</t>
        </is>
      </c>
    </row>
    <row r="12" ht="91" customHeight="1" s="20">
      <c r="A12" s="10" t="n">
        <v>7</v>
      </c>
      <c r="B12" s="10" t="inlineStr">
        <is>
          <t>Major incidenskezelés</t>
        </is>
      </c>
      <c r="C12" s="10" t="inlineStr">
        <is>
          <t>Major incident (MI) menedzsment komplex folyamata: P1/P2 azonosítási kritériumok; MI koordinátor szerepe; bridge call/war room összehívás; kommunikációs protokoll (belső, management, ügyfelek); idővonalas dokumentálás; post-incident review (PIR) és root cause analysis (RCA) módszerek (5 Whys, Ishikawa/halszálka, Timeline); permanent fix vs. workaround döntés; ismétlődő incidensek problémává alakítása (Problem Management)</t>
        </is>
      </c>
      <c r="D12" s="10" t="inlineStr">
        <is>
          <t>ServiceNow (Incident Management modul), Teams, Miro, Confluence (MI runbook)</t>
        </is>
      </c>
      <c r="E12" s="10" t="inlineStr">
        <is>
          <t>Miro AI: RCA timeline és halszálka diagram gyors összeállítása az MI adataiból; Copilot: PIR dokumentum tervezet az idővonaladatokból; Claude: kommunikációs üzenetek adaptálása tech, management és végfelhasználó szintekre</t>
        </is>
      </c>
      <c r="F12" s="10" t="inlineStr">
        <is>
          <t>ITIL 4 Practice: Incident Management + Major Incident Practitioner belső képzés; ServiceNow Incident Management micro-certification</t>
        </is>
      </c>
      <c r="G12" s="10" t="inlineStr">
        <is>
          <t>Középszint</t>
        </is>
      </c>
      <c r="H12" s="10" t="inlineStr">
        <is>
          <t>Szimulált MI tabletop exercise erősen ajánlott. ServiceNow Incident modul self-paced. Kb. 16 óra.</t>
        </is>
      </c>
      <c r="I12" s="39" t="inlineStr">
        <is>
          <t>Masterfield / SZÁMALK</t>
        </is>
      </c>
      <c r="J12" s="40" t="n">
        <v>150000</v>
      </c>
      <c r="K12" s="40" t="n">
        <v>0</v>
      </c>
      <c r="L12" s="41">
        <f>J12+K12</f>
        <v/>
      </c>
      <c r="M12" s="39" t="inlineStr">
        <is>
          <t>2026 H1</t>
        </is>
      </c>
    </row>
    <row r="13" ht="91" customHeight="1" s="20">
      <c r="A13" s="10" t="n">
        <v>8</v>
      </c>
      <c r="B13" s="10" t="inlineStr">
        <is>
          <t>Szállítói (vendor) menedzsment</t>
        </is>
      </c>
      <c r="C13" s="10" t="inlineStr">
        <is>
          <t>Vendor/szállítói menedzsment módszertana: szállítói szegmentáció (strategic, preferred, transactional); SLA monitoring és KPI mérés szállítói szinten; teljesítményértékelési scorecard; szerződéses megfelelés ellenőrzése; eskalációs folyamat és dispute resolution; 4th party risk; exit stratégia és szállítóváltás tervezése; Vendor Relationship Management (VRM); ISAE 3402 / SOC 2 jelentések értelmezése</t>
        </is>
      </c>
      <c r="D13" s="10" t="inlineStr">
        <is>
          <t>ServiceNow (Vendor Management), Excel, Power BI, Confluence</t>
        </is>
      </c>
      <c r="E13" s="10" t="inlineStr">
        <is>
          <t>Power BI Copilot: vendor performance dashboard – SLA teljesítmény trend és anomália detektálás; Claude: szállítói riportok összefoglalása és kockázati jelzések kiemelése; AI-alapú szállítói összehasonlítás tenderbírálatnál</t>
        </is>
      </c>
      <c r="F13" s="10" t="inlineStr">
        <is>
          <t>CIPS Foundation (Chartered Institute of Procurement &amp; Supply) VAGY belső vendor management specialista program</t>
        </is>
      </c>
      <c r="G13" s="10" t="inlineStr">
        <is>
          <t>Középszint</t>
        </is>
      </c>
      <c r="H13" s="10" t="inlineStr">
        <is>
          <t>CIPS online tanulási anyagok elérhetők (cips.org). 4th party risk 2025-től szabályozói elvárás. Kb. 20 óra.</t>
        </is>
      </c>
      <c r="I13" s="39" t="inlineStr">
        <is>
          <t>Training360 / Masterfield</t>
        </is>
      </c>
      <c r="J13" s="40" t="n">
        <v>180000</v>
      </c>
      <c r="K13" s="40" t="n">
        <v>0</v>
      </c>
      <c r="L13" s="41">
        <f>J13+K13</f>
        <v/>
      </c>
      <c r="M13" s="39" t="inlineStr">
        <is>
          <t>2026 H1</t>
        </is>
      </c>
    </row>
    <row r="14">
      <c r="A14" s="25" t="inlineStr">
        <is>
          <t>HALADÓ SZINT  |  Expert / Lead  —  Mester szint (3+ év tapasztalat)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5" t="n"/>
    </row>
    <row r="15" ht="78" customHeight="1" s="20">
      <c r="A15" s="11" t="n">
        <v>9</v>
      </c>
      <c r="B15" s="11" t="inlineStr">
        <is>
          <t>Enterprise Risk Management (ERM)</t>
        </is>
      </c>
      <c r="C15" s="11" t="inlineStr">
        <is>
          <t>Enterprise Risk Management (ERM) és IT-GRC integráció: ERM keretrendszer (COSO ERM, ISO 31000); IT kockázati étvágy meghatározása és kommunikálása igazgatóság felé; IT kockázatok beillesztése vállalati nyilvántartásba; board risk report szerkesztése; GRC platform administráció (RSA Archer, ServiceNow GRC); kockázati kultúra fejlesztése; ISACA CRISC vizsgafelkészítés</t>
        </is>
      </c>
      <c r="D15" s="11" t="inlineStr">
        <is>
          <t>RSA Archer, ServiceNow GRC, Power BI, ISACA CRISC study materials</t>
        </is>
      </c>
      <c r="E15" s="11" t="inlineStr">
        <is>
          <t>AI-alapú kockázati dashboard real-time KRI monitoringgal; Claude: executive risk summary generálás nyers adatokból; AI kockázati trend előrejelzés historikus adatokból; Copilot: igazgatósági kockázati prezentáció vázlat</t>
        </is>
      </c>
      <c r="F15" s="11" t="inlineStr">
        <is>
          <t>CRISC (Certified in Risk and Information Systems Control – ISACA) – 150 kérdés, 4,5 óra vizsgaidő</t>
        </is>
      </c>
      <c r="G15" s="11" t="inlineStr">
        <is>
          <t>Haladó szint</t>
        </is>
      </c>
      <c r="H15" s="11" t="inlineStr">
        <is>
          <t>CRISC a top IT kockázatkezelési cert globálisan. ISACA review course ajánlott. 5+ év tapasztalat szükséges. Kb. 80–100 óra felkészülés.</t>
        </is>
      </c>
      <c r="I15" s="42" t="inlineStr">
        <is>
          <t>ISACA Budapest Chapter</t>
        </is>
      </c>
      <c r="J15" s="43" t="n">
        <v>345000</v>
      </c>
      <c r="K15" s="43" t="n">
        <v>218500</v>
      </c>
      <c r="L15" s="44">
        <f>J15+K15</f>
        <v/>
      </c>
      <c r="M15" s="42" t="inlineStr">
        <is>
          <t>2026 H2</t>
        </is>
      </c>
    </row>
    <row r="16" ht="91" customHeight="1" s="20">
      <c r="A16" s="11" t="n">
        <v>10</v>
      </c>
      <c r="B16" s="11" t="inlineStr">
        <is>
          <t>IT Audit és megfelelés</t>
        </is>
      </c>
      <c r="C16" s="11" t="inlineStr">
        <is>
          <t>IT Audit és megfelelés mester szinten: SOX IT general controls (ITGC: access management, change management, operations, backup/recovery); COBIT 2019 audit perspektívával; ISO 27001 belső audit (ISO 19011 alapján); DORA ICT kockázatkezelési követelmények auditálása; kontroll tesztelési módszerek (inquiry, observation, inspection, re-performance); audit finding súlyozás és remediation; audit riport szerkesztése; continuous auditing és audit analytics</t>
        </is>
      </c>
      <c r="D16" s="11" t="inlineStr">
        <is>
          <t>AuditBoard, ServiceNow (GRC), Excel, Power BI, IDEA (audit analytics eszköz)</t>
        </is>
      </c>
      <c r="E16" s="11" t="inlineStr">
        <is>
          <t>Claude: audit finding elemzés és remediation javaslat rangsorolással; Copilot: audit riport és management letter tervezet; AI anomália detektálás audit adatokban; Power BI: continuous audit dashboard</t>
        </is>
      </c>
      <c r="F16" s="11" t="inlineStr">
        <is>
          <t>CISA (Certified Information Systems Auditor – ISACA) VAGY ISO 27001 Lead Auditor (BSI/Bureau Veritas)</t>
        </is>
      </c>
      <c r="G16" s="11" t="inlineStr">
        <is>
          <t>Haladó szint</t>
        </is>
      </c>
      <c r="H16" s="11" t="inlineStr">
        <is>
          <t>CISA: 5 éves tapasztalat + 150 kérdéses vizsga. ISO 27001 Lead Auditor 5 napos képzés + vizsga. Kb. 80–100 óra.</t>
        </is>
      </c>
      <c r="I16" s="42" t="inlineStr">
        <is>
          <t>ISACA Budapest Chapter</t>
        </is>
      </c>
      <c r="J16" s="43" t="n">
        <v>345000</v>
      </c>
      <c r="K16" s="43" t="n">
        <v>218500</v>
      </c>
      <c r="L16" s="44">
        <f>J16+K16</f>
        <v/>
      </c>
      <c r="M16" s="42" t="inlineStr">
        <is>
          <t>2026 H2</t>
        </is>
      </c>
    </row>
    <row r="17" ht="91" customHeight="1" s="20">
      <c r="A17" s="11" t="n">
        <v>11</v>
      </c>
      <c r="B17" s="11" t="inlineStr">
        <is>
          <t>DORA és szabályozói megfelelés</t>
        </is>
      </c>
      <c r="C17" s="11" t="inlineStr">
        <is>
          <t>Digital Operational Resilience Act (DORA, EU 2022/2554) teljes körű megismerése: hatály (biztosítók, bankok, ICT szállítók); 5 pillér – ICT kockázatkezelés, incidenskezelés és reporting, digitális rugalmassági tesztelés (TLPT), harmadik fél ICT kockázatai, információcsere; ICT kockázatkezelési keretrendszer DORA alapján; kritikus ICT szállítók azonosítása; DORA incidensjelentési határidők (4, 24, 72 óra); DORA és ISO 27001/ITIL kapcsolata; gap elemzés elvégzése</t>
        </is>
      </c>
      <c r="D17" s="11" t="inlineStr">
        <is>
          <t>Belső GRC platform, Confluence, ENISA DORA guidance, EBA útmutatók</t>
        </is>
      </c>
      <c r="E17" s="11" t="inlineStr">
        <is>
          <t>Claude: DORA rendeletszöveg értelmezése és gap analízis segítség; DORA követelmény checklist generálása munkaterületenként; Copilot: DORA compliance roadmap tervezet és mérföldkövek meghatározása</t>
        </is>
      </c>
      <c r="F17" s="11" t="inlineStr">
        <is>
          <t>DORA belső specialista képzés + DORA gap analízis elvégzése és prezentálása</t>
        </is>
      </c>
      <c r="G17" s="11" t="inlineStr">
        <is>
          <t>Haladó szint</t>
        </is>
      </c>
      <c r="H17" s="11" t="inlineStr">
        <is>
          <t>DORA 2025. jan. 17-től teljes hatályú. Biztosítói szektorban kiemelt fontosságú (EIOPA elvárások). ENISA és EBA guidance kötelező olvasmány. Kb. 16–24 óra.</t>
        </is>
      </c>
      <c r="I17" s="42" t="inlineStr">
        <is>
          <t>KÜRT Akadémia / euzert.hu</t>
        </is>
      </c>
      <c r="J17" s="43" t="n">
        <v>250000</v>
      </c>
      <c r="K17" s="43" t="n">
        <v>0</v>
      </c>
      <c r="L17" s="44">
        <f>J17+K17</f>
        <v/>
      </c>
      <c r="M17" s="42" t="inlineStr">
        <is>
          <t>2026 H2</t>
        </is>
      </c>
    </row>
    <row r="18">
      <c r="A18" s="48" t="n"/>
      <c r="B18" s="49" t="inlineStr">
        <is>
          <t>Alapszint összesen</t>
        </is>
      </c>
      <c r="C18" s="48" t="n"/>
      <c r="D18" s="48" t="n"/>
      <c r="E18" s="48" t="n"/>
      <c r="F18" s="48" t="n"/>
      <c r="G18" s="48" t="n"/>
      <c r="H18" s="48" t="n"/>
      <c r="I18" s="48" t="n"/>
      <c r="J18" s="50">
        <f>SUM(J5:J8)</f>
        <v/>
      </c>
      <c r="K18" s="50">
        <f>SUM(K5:K8)</f>
        <v/>
      </c>
      <c r="L18" s="50">
        <f>SUM(L5:L8)</f>
        <v/>
      </c>
      <c r="M18" s="48" t="n"/>
    </row>
    <row r="19">
      <c r="A19" s="51" t="n"/>
      <c r="B19" s="52" t="inlineStr">
        <is>
          <t>Középszint összesen</t>
        </is>
      </c>
      <c r="C19" s="51" t="n"/>
      <c r="D19" s="51" t="n"/>
      <c r="E19" s="51" t="n"/>
      <c r="F19" s="51" t="n"/>
      <c r="G19" s="51" t="n"/>
      <c r="H19" s="51" t="n"/>
      <c r="I19" s="51" t="n"/>
      <c r="J19" s="53">
        <f>SUM(J10:J13)</f>
        <v/>
      </c>
      <c r="K19" s="53">
        <f>SUM(K10:K13)</f>
        <v/>
      </c>
      <c r="L19" s="53">
        <f>SUM(L10:L13)</f>
        <v/>
      </c>
      <c r="M19" s="51" t="n"/>
    </row>
    <row r="20">
      <c r="A20" s="54" t="n"/>
      <c r="B20" s="55" t="inlineStr">
        <is>
          <t>Haladó szint összesen</t>
        </is>
      </c>
      <c r="C20" s="54" t="n"/>
      <c r="D20" s="54" t="n"/>
      <c r="E20" s="54" t="n"/>
      <c r="F20" s="54" t="n"/>
      <c r="G20" s="54" t="n"/>
      <c r="H20" s="54" t="n"/>
      <c r="I20" s="54" t="n"/>
      <c r="J20" s="56">
        <f>SUM(J15:J17)</f>
        <v/>
      </c>
      <c r="K20" s="56">
        <f>SUM(K15:K17)</f>
        <v/>
      </c>
      <c r="L20" s="56">
        <f>SUM(L15:L17)</f>
        <v/>
      </c>
      <c r="M20" s="54" t="n"/>
    </row>
    <row r="21">
      <c r="A21" s="57" t="n"/>
      <c r="B21" s="58" t="inlineStr">
        <is>
          <t>TELJES ÚTVONAL ÖSSZESEN</t>
        </is>
      </c>
      <c r="C21" s="57" t="n"/>
      <c r="D21" s="57" t="n"/>
      <c r="E21" s="57" t="n"/>
      <c r="F21" s="57" t="n"/>
      <c r="G21" s="57" t="n"/>
      <c r="H21" s="57" t="n"/>
      <c r="I21" s="57" t="n"/>
      <c r="J21" s="59">
        <f>J18+J19+J20</f>
        <v/>
      </c>
      <c r="K21" s="59">
        <f>K18+K19+K20</f>
        <v/>
      </c>
      <c r="L21" s="59">
        <f>L18+L19+L20</f>
        <v/>
      </c>
      <c r="M21" s="57" t="n"/>
    </row>
  </sheetData>
  <autoFilter ref="A3:H3"/>
  <mergeCells count="5">
    <mergeCell ref="A14:M14"/>
    <mergeCell ref="A1:M1"/>
    <mergeCell ref="A9:M9"/>
    <mergeCell ref="A4:M4"/>
    <mergeCell ref="A2:M2"/>
  </mergeCells>
  <pageMargins left="0.75" right="0.75" top="1" bottom="1" header="0.5" footer="0.5"/>
  <headerFooter>
    <oddHeader>&amp;C&amp;"Calibri"&amp;1 &amp;K000000 Internal#_x000d_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E6" sqref="E6"/>
    </sheetView>
  </sheetViews>
  <sheetFormatPr baseColWidth="8" defaultRowHeight="14.5"/>
  <cols>
    <col width="5" customWidth="1" style="20" min="1" max="1"/>
    <col width="28" customWidth="1" style="20" min="2" max="2"/>
    <col width="55" customWidth="1" style="20" min="3" max="3"/>
    <col width="30" customWidth="1" style="20" min="4" max="4"/>
    <col width="45" customWidth="1" style="20" min="5" max="5"/>
    <col width="35" customWidth="1" style="20" min="6" max="6"/>
    <col width="14" customWidth="1" style="20" min="7" max="7"/>
    <col width="30" customWidth="1" style="20" min="8" max="8"/>
    <col width="30" customWidth="1" style="20" min="9" max="9"/>
    <col width="20" customWidth="1" style="20" min="10" max="10"/>
    <col width="20" customWidth="1" style="20" min="11" max="11"/>
    <col width="22" customWidth="1" style="20" min="12" max="12"/>
    <col width="16" customWidth="1" style="20" min="13" max="13"/>
  </cols>
  <sheetData>
    <row r="1">
      <c r="A1" s="27" t="inlineStr">
        <is>
          <t>Agile – PO / Scrum / PM  —  Product Owner, Scrum Master, Agile Project Manager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8" t="n"/>
    </row>
    <row r="2">
      <c r="A2" s="13" t="inlineStr">
        <is>
          <t>Az agilis szállítás motorja. Biztosítja, hogy a csapatok hatékonyan, fókuszáltan és folyamatos értéket szállítva dolgozzanak.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5" t="n"/>
    </row>
    <row r="3">
      <c r="A3" s="1" t="inlineStr">
        <is>
          <t>#</t>
        </is>
      </c>
      <c r="B3" s="1" t="inlineStr">
        <is>
          <t>Képzési terület</t>
        </is>
      </c>
      <c r="C3" s="1" t="inlineStr">
        <is>
          <t>Képzési tartalom</t>
        </is>
      </c>
      <c r="D3" s="1" t="inlineStr">
        <is>
          <t>Eszköz / Platform</t>
        </is>
      </c>
      <c r="E3" s="1" t="inlineStr">
        <is>
          <t>AI lehetőség</t>
        </is>
      </c>
      <c r="F3" s="1" t="inlineStr">
        <is>
          <t>Bizonyítvány / Kimenet</t>
        </is>
      </c>
      <c r="G3" s="1" t="inlineStr">
        <is>
          <t>Szint</t>
        </is>
      </c>
      <c r="H3" s="1" t="inlineStr">
        <is>
          <t>Megjegyzés</t>
        </is>
      </c>
      <c r="I3" s="30" t="inlineStr">
        <is>
          <t>Képzőhely / Provider</t>
        </is>
      </c>
      <c r="J3" s="30" t="inlineStr">
        <is>
          <t>Képzési díj (nettó Ft)</t>
        </is>
      </c>
      <c r="K3" s="30" t="inlineStr">
        <is>
          <t>Vizsgadíj (nettó Ft)</t>
        </is>
      </c>
      <c r="L3" s="30" t="inlineStr">
        <is>
          <t>Össz. költség/fő (Ft)</t>
        </is>
      </c>
      <c r="M3" s="30" t="inlineStr">
        <is>
          <t>Javasolt félév</t>
        </is>
      </c>
    </row>
    <row r="4">
      <c r="A4" s="23" t="inlineStr">
        <is>
          <t>ALAPSZINT  |  Foundation  —  Belépő szint (0–1 év tapasztalat)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5" t="n"/>
    </row>
    <row r="5" ht="91" customHeight="1" s="20">
      <c r="A5" s="9" t="n">
        <v>1</v>
      </c>
      <c r="B5" s="9" t="inlineStr">
        <is>
          <t>Agile szemlélet és Scrum alapok</t>
        </is>
      </c>
      <c r="C5" s="9" t="inlineStr">
        <is>
          <t>Agile Manifesto 4 értéke és 12 alapelve részletesen; Scrum Guide 2020 teljes tartalom: szerepek (PO, Scrum Master, Developers), ceremóniák (Sprint Planning, Daily, Review, Retrospektív), artefaktumok (Product Backlog, Sprint Backlog, Increment) és elkötelezettségeik (Product Goal, Sprint Goal, DoD); empirizmus 3 pillére (átláthatóság, ellenőrzés, alkalmazkodás); Scrum szimulált környezetben; összehasonlítás: Scrum vs. Kanban vs. XP vs. DSDM</t>
        </is>
      </c>
      <c r="D5" s="9" t="inlineStr">
        <is>
          <t>Scrum.org tananyag, Miro (sprint board), Jira (scrum projekt)</t>
        </is>
      </c>
      <c r="E5" s="9" t="inlineStr">
        <is>
          <t>Miro AI: sprint board és retrospektív sablon automatikus generálása; Atlassian Intelligence: Jira sprint összefoglaló; Claude: Scrum fogalmak magyarázata és vizsgafelkészítő kérdések generálása</t>
        </is>
      </c>
      <c r="F5" s="9" t="inlineStr">
        <is>
          <t>PSM I (Scrum.org) – 80 kérdés, 85% átmenő, 60 perc VAGY CSM (Scrum Alliance – tréning + vizsga)</t>
        </is>
      </c>
      <c r="G5" s="9" t="inlineStr">
        <is>
          <t>Alapszint</t>
        </is>
      </c>
      <c r="H5" s="9" t="inlineStr">
        <is>
          <t>PSM I online, önütemezve. Scrum.org 1000 Scrum Open practice test ingyenesen. Kb. 16–20 óra felkészülés.</t>
        </is>
      </c>
      <c r="I5" s="36" t="inlineStr">
        <is>
          <t>ProMan / Scrum.org</t>
        </is>
      </c>
      <c r="J5" s="37" t="n">
        <v>0</v>
      </c>
      <c r="K5" s="37" t="n">
        <v>76000</v>
      </c>
      <c r="L5" s="38">
        <f>J5+K5</f>
        <v/>
      </c>
      <c r="M5" s="36" t="inlineStr">
        <is>
          <t>2025 H2</t>
        </is>
      </c>
    </row>
    <row r="6" ht="91" customHeight="1" s="20">
      <c r="A6" s="9" t="n">
        <v>2</v>
      </c>
      <c r="B6" s="9" t="inlineStr">
        <is>
          <t>Product Owner alapok</t>
        </is>
      </c>
      <c r="C6" s="9" t="inlineStr">
        <is>
          <t>Product Owner kompetenciák Foundation szinten: Product Backlog létrehozása és refinement folyamat; user story írás (INVEST kritériumok); acceptance criteria (Gherkin: Given-When-Then szintaxis); backlog priorizálás (MoSCoW, Kano modell, Business Value scoring); Sprint Goal meghatározása; Product Vision kialakítása (Product Vision Board); értékmaximalizálás; stakeholder elvárások kezelése alapszinten</t>
        </is>
      </c>
      <c r="D6" s="9" t="inlineStr">
        <is>
          <t>Jira, Confluence, Miro, Scrum.org PSPO tananyag</t>
        </is>
      </c>
      <c r="E6" s="9" t="inlineStr">
        <is>
          <t>Claude: user story generálás rövid brief alapján; AI acceptance criteria javaslatok Given-When-Then formátumban; Copilot Confluence: product backlog sablon és Product Vision dokumentum</t>
        </is>
      </c>
      <c r="F6" s="9" t="inlineStr">
        <is>
          <t>PSPO I (Professional Scrum Product Owner I – Scrum.org) – 80 kérdés, 85% átmenő</t>
        </is>
      </c>
      <c r="G6" s="9" t="inlineStr">
        <is>
          <t>Alapszint</t>
        </is>
      </c>
      <c r="H6" s="9" t="inlineStr">
        <is>
          <t>PSPO I önállóan tanulható. Scrum.org ingyenes learning resources. PSM I párhuzamosan ajánlott. Kb. 16–20 óra.</t>
        </is>
      </c>
      <c r="I6" s="36" t="inlineStr">
        <is>
          <t>ProMan / Scrum.org</t>
        </is>
      </c>
      <c r="J6" s="37" t="n">
        <v>0</v>
      </c>
      <c r="K6" s="37" t="n">
        <v>76000</v>
      </c>
      <c r="L6" s="38">
        <f>J6+K6</f>
        <v/>
      </c>
      <c r="M6" s="36" t="inlineStr">
        <is>
          <t>2025 H2</t>
        </is>
      </c>
    </row>
    <row r="7" ht="104" customHeight="1" s="20">
      <c r="A7" s="9" t="n">
        <v>3</v>
      </c>
      <c r="B7" s="9" t="inlineStr">
        <is>
          <t>Agile eszközök használata</t>
        </is>
      </c>
      <c r="C7" s="9" t="inlineStr">
        <is>
          <t>Agile projektmenedzsment eszközök professzionális szintű ismerete: Jira – Epic/Story/SubTask/Bug hierarchia, sprint board, backlog, kanban board, velocity és burndown riportok; Confluence – Jira integráció, sprint dokumentáció, decision log, retrospektív oldal; Azure DevOps – work items, sprints, boards alapok; Atlassian Intelligence – issue összefoglalók, sprint insight-ok, standup összefoglaló generálás; toolok konfigurálása csapatspecifikus workflow szerint</t>
        </is>
      </c>
      <c r="D7" s="9" t="inlineStr">
        <is>
          <t>Jira Software, Confluence (Atlassian Cloud), Azure DevOps, Atlassian Intelligence</t>
        </is>
      </c>
      <c r="E7" s="9" t="inlineStr">
        <is>
          <t>Jira Atlassian Intelligence: automatikus issue összefoglalók, sprint teljesítmény insight, standup generálás; Confluence AI: sprint review és retrospektív dokumentáció automatizálás; Claude: Jira JQL lekérdezések írása természetes leírásból</t>
        </is>
      </c>
      <c r="F7" s="9" t="inlineStr">
        <is>
          <t>Atlassian Certified: ACP-100 (Jira Software) + ACP-120 (Confluence Fundamentals) tanúsítványok</t>
        </is>
      </c>
      <c r="G7" s="9" t="inlineStr">
        <is>
          <t>Alapszint</t>
        </is>
      </c>
      <c r="H7" s="9" t="inlineStr">
        <is>
          <t>Atlassian University ingyenes alapkurzusok. Azure DevOps MS Learn-en ingyenesen tanulható. Kb. 16 óra.</t>
        </is>
      </c>
      <c r="I7" s="36" t="inlineStr">
        <is>
          <t>Training360 / Atlassian</t>
        </is>
      </c>
      <c r="J7" s="37" t="n">
        <v>150000</v>
      </c>
      <c r="K7" s="37" t="n">
        <v>0</v>
      </c>
      <c r="L7" s="38">
        <f>J7+K7</f>
        <v/>
      </c>
      <c r="M7" s="36" t="inlineStr">
        <is>
          <t>2025 H2</t>
        </is>
      </c>
    </row>
    <row r="8" ht="91" customHeight="1" s="20">
      <c r="A8" s="9" t="n">
        <v>4</v>
      </c>
      <c r="B8" s="9" t="inlineStr">
        <is>
          <t>Agile meetingek facilitálása</t>
        </is>
      </c>
      <c r="C8" s="9" t="inlineStr">
        <is>
          <t>Agile ceremóniák profi facilitálása: Sprint Planning – célkitűzés, backlog refinement, kapacitástervezés, Sprint Goal; Daily Scrum – haladás, akadályok, fókusz; Sprint Review – demo felépítése, stakeholder visszajelzés; Sprint Retrospektív – technikák (4Ls, Start/Stop/Continue, Sailboat, Lean Coffee, Mad/Sad/Glad); action item felelősök és határidők; energizer-ek és ice-breakerek; FunRetro, EasyRetro, MetroRetro eszközök; timeboxing</t>
        </is>
      </c>
      <c r="D8" s="9" t="inlineStr">
        <is>
          <t>Miro, FunRetro, EasyRetro, MetroRetro, Teams, Google Meet</t>
        </is>
      </c>
      <c r="E8" s="9" t="inlineStr">
        <is>
          <t>Miro AI: retro sticky note-ok automatikus csoportosítása, top 3 action item javaslat; Claude: facilitátori kérdések generálása adott csapathelyzetre; Teams Copilot: meeting összefoglalók és döntések kiemelése</t>
        </is>
      </c>
      <c r="F8" s="9" t="inlineStr">
        <is>
          <t>Belső facilitátor workshop elvégzési igazolás + min. 5 facilitált Scrum ceremónia önértékelő naplóval</t>
        </is>
      </c>
      <c r="G8" s="9" t="inlineStr">
        <is>
          <t>Alapszint</t>
        </is>
      </c>
      <c r="H8" s="9" t="inlineStr">
        <is>
          <t>Liberating Structures (liberatingstructures.com) ingyenes facilitációs technikák tárháza. Kb. 8 óra + tapasztalat.</t>
        </is>
      </c>
      <c r="I8" s="36" t="inlineStr">
        <is>
          <t>ProMan / Training360</t>
        </is>
      </c>
      <c r="J8" s="37" t="n">
        <v>120000</v>
      </c>
      <c r="K8" s="37" t="n">
        <v>0</v>
      </c>
      <c r="L8" s="38">
        <f>J8+K8</f>
        <v/>
      </c>
      <c r="M8" s="36" t="inlineStr">
        <is>
          <t>2025 H2</t>
        </is>
      </c>
    </row>
    <row r="9">
      <c r="A9" s="22" t="inlineStr">
        <is>
          <t>KÖZÉPSZINT  |  Practitioner  —  Fejlesztő szint (1–3 év tapasztalat)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5" t="n"/>
    </row>
    <row r="10" ht="104" customHeight="1" s="20">
      <c r="A10" s="10" t="n">
        <v>5</v>
      </c>
      <c r="B10" s="10" t="inlineStr">
        <is>
          <t>Scrum Master haladó szint</t>
        </is>
      </c>
      <c r="C10" s="10" t="inlineStr">
        <is>
          <t>Scrum Master szakértői kompetenciák: impediment management – azonosítás, kategorizálás, rendszeres kezelés; csapatcoaching elvei és ICF GROW modell; konfliktuskezelési modellek (Thomas-Kilmann); szervezeti akadályok lebontása rendszerszintű gondolkodással; Agile health check (Squad Health Check, Nokia test); Scrum csapat fejlettségi szint felmérése és fejlesztési terv; Scrum of Scrums koordináció; technikai excellence evangelizálása (TDD, pair programming)</t>
        </is>
      </c>
      <c r="D10" s="10" t="inlineStr">
        <is>
          <t>Miro, Jira, Teams, belső coaching keretrendszer</t>
        </is>
      </c>
      <c r="E10" s="10" t="inlineStr">
        <is>
          <t>AI csapat teljesítmény elemzés velocity és flow adatok alapján; Claude: impediment kategorizálás és szisztematikus megoldási javaslat; Copilot: csapatos fejlesztési terv összefoglalás; Miro AI: agile health check vizualizáció és trend</t>
        </is>
      </c>
      <c r="F10" s="10" t="inlineStr">
        <is>
          <t>PSM II (Professional Scrum Master II – Scrum.org) – 30 kérdés, 85% átmenő; opcionálisan: CEC (Certified Enterprise Coach – Scrum Alliance)</t>
        </is>
      </c>
      <c r="G10" s="10" t="inlineStr">
        <is>
          <t>Középszint</t>
        </is>
      </c>
      <c r="H10" s="10" t="inlineStr">
        <is>
          <t>PSM II mélyebb megértést igényel, nem csak memorizálást. PSM I után min. 1 év SM tapasztalat ajánlott. Kb. 30 óra.</t>
        </is>
      </c>
      <c r="I10" s="39" t="inlineStr">
        <is>
          <t>ProMan / Scrum.org</t>
        </is>
      </c>
      <c r="J10" s="40" t="n">
        <v>250000</v>
      </c>
      <c r="K10" s="40" t="n">
        <v>95000</v>
      </c>
      <c r="L10" s="41">
        <f>J10+K10</f>
        <v/>
      </c>
      <c r="M10" s="39" t="inlineStr">
        <is>
          <t>2026 H1</t>
        </is>
      </c>
    </row>
    <row r="11" ht="91" customHeight="1" s="20">
      <c r="A11" s="10" t="n">
        <v>6</v>
      </c>
      <c r="B11" s="10" t="inlineStr">
        <is>
          <t>Product Owner haladó szint</t>
        </is>
      </c>
      <c r="C11" s="10" t="inlineStr">
        <is>
          <t>Product Owner haladó kompetenciák: Product Roadmap tervezés (Now/Next/Later, theme-alapú); Product Vision és Strategy (Geoffrey Moore alapján); OKR-ek beágyazása a product backlogba; stakeholder management haladó (érdekkonfliktusok kezelése); Release Planning és release train koordináció; Business Case és ROI számítás PO perspektívából; Dual Track Agile (discovery vs. delivery); Design Thinking alapjai PO szerepben</t>
        </is>
      </c>
      <c r="D11" s="10" t="inlineStr">
        <is>
          <t>Jira, Confluence, Miro, Figma (prototípus), ProductBoard, Aha!</t>
        </is>
      </c>
      <c r="E11" s="10" t="inlineStr">
        <is>
          <t>Figma MCP: product roadmap vizualizáció AI-alapon természetes leírásból; Claude: release note generálása sprint review adatokból; AI-alapú user feedback analízis és témacsoportosítás; Copilot: business case és executive summary generálás</t>
        </is>
      </c>
      <c r="F11" s="10" t="inlineStr">
        <is>
          <t>PSPO II (Professional Scrum Product Owner II – Scrum.org) + opcionálisan: PMI Agile Certified Practitioner (PMI-ACP)</t>
        </is>
      </c>
      <c r="G11" s="10" t="inlineStr">
        <is>
          <t>Középszint</t>
        </is>
      </c>
      <c r="H11" s="10" t="inlineStr">
        <is>
          <t>PSPO II stratégiai PO gondolkodást igényel. ProductBoard és Aha! eszközismeret plusz. Kb. 30 óra.</t>
        </is>
      </c>
      <c r="I11" s="39" t="inlineStr">
        <is>
          <t>ProMan / Scrum.org</t>
        </is>
      </c>
      <c r="J11" s="40" t="n">
        <v>250000</v>
      </c>
      <c r="K11" s="40" t="n">
        <v>95000</v>
      </c>
      <c r="L11" s="41">
        <f>J11+K11</f>
        <v/>
      </c>
      <c r="M11" s="39" t="inlineStr">
        <is>
          <t>2026 H1</t>
        </is>
      </c>
    </row>
    <row r="12" ht="91" customHeight="1" s="20">
      <c r="A12" s="10" t="n">
        <v>7</v>
      </c>
      <c r="B12" s="10" t="inlineStr">
        <is>
          <t>Scaled Agile (SAFe alapok)</t>
        </is>
      </c>
      <c r="C12" s="10" t="inlineStr">
        <is>
          <t>Scaled Agile Framework (SAFe 6.0) mélyreható megismerése: SAFe big picture és konfigurációk (Essential, Large Solution, Portfolio, Full SAFe); Agile Release Train (ART) működése és csapathierarchia; PI Planning 2 napos esemény részletes folyamata; WSJF prioritizálás; Feature és Capability definíció; System Demo és Inspect &amp; Adapt; DevSecOps integráció SAFe-ben; Lean Portfolio Management; Business Agility értelmezése</t>
        </is>
      </c>
      <c r="D12" s="10" t="inlineStr">
        <is>
          <t>Jira (Advanced Roadmaps / Align), Azure DevOps, Miro, Confluence</t>
        </is>
      </c>
      <c r="E12" s="10" t="inlineStr">
        <is>
          <t>Miro AI + Claude MCP: PI Planning board előkészítése – features feltöltése, team allokáció javaslat; Jira Align: automatikus ART teljesítmény dashboard; Claude: WSJF pontszám számítás és priorizálási magyarázat</t>
        </is>
      </c>
      <c r="F12" s="10" t="inlineStr">
        <is>
          <t>SAFe Practitioner (SP) – SAFe 6.0 (Scaled Agile Inc.) – 45 kérdés, 77% átmenő, open book, 1 óra</t>
        </is>
      </c>
      <c r="G12" s="10" t="inlineStr">
        <is>
          <t>Középszint</t>
        </is>
      </c>
      <c r="H12" s="10" t="inlineStr">
        <is>
          <t>Scaled Agile official online tananyag ingyenesen elérhető. Open book: SAFe big picture jól kell ismerni. Kb. 16–20 óra.</t>
        </is>
      </c>
      <c r="I12" s="39" t="inlineStr">
        <is>
          <t>ProMan / SZÁMALK</t>
        </is>
      </c>
      <c r="J12" s="40" t="n">
        <v>180000</v>
      </c>
      <c r="K12" s="40" t="n">
        <v>204000</v>
      </c>
      <c r="L12" s="41">
        <f>J12+K12</f>
        <v/>
      </c>
      <c r="M12" s="39" t="inlineStr">
        <is>
          <t>2026 H1</t>
        </is>
      </c>
    </row>
    <row r="13" ht="104" customHeight="1" s="20">
      <c r="A13" s="10" t="n">
        <v>8</v>
      </c>
      <c r="B13" s="10" t="inlineStr">
        <is>
          <t>Agile metrikák és teljesítménymérés</t>
        </is>
      </c>
      <c r="C13" s="10" t="inlineStr">
        <is>
          <t>Agile teljesítménymérés haladó szinten: Velocity mérési módszer és téves értelmezések; Burndown és Burnup chart elemzése; Flow metrikák: Cycle Time, Lead Time, Throughput, WIP limitek Kanban kontextusban; Cumulative Flow Diagram (CFD) elemzése; OKR mérési módszertan (confidence level, check-in folyamat); agile metrika anti-patternek (velocity gaming); EBM (Evidence-Based Management) keretrendszer: Current Value, Unrealized Value, Ability to Innovate, Time-to-Market</t>
        </is>
      </c>
      <c r="D13" s="10" t="inlineStr">
        <is>
          <t>Jira (riportok), Power BI, ActionableAgile Analytics, TargetProcess</t>
        </is>
      </c>
      <c r="E13" s="10" t="inlineStr">
        <is>
          <t>Power BI Copilot: agile metrika dashboard természetes lekérdezéssel; AI anomália detektálás (velocity esés okainak azonosítása); Claude: metrika értelmezés és ajánlás adott csapatállapothoz; ActionableAgile AI: prediktív delivery előrejelzés</t>
        </is>
      </c>
      <c r="F13" s="10" t="inlineStr">
        <is>
          <t>Belső agile metrics workshop elvégzési igazolás + elkészített agile metrika dashboard bemutatása</t>
        </is>
      </c>
      <c r="G13" s="10" t="inlineStr">
        <is>
          <t>Középszint</t>
        </is>
      </c>
      <c r="H13" s="10" t="inlineStr">
        <is>
          <t>ActionableAgile Analytics próbaverzió elérhető. JIRA rapportok ingyenesen konfigurálhatók. Kb. 12 óra.</t>
        </is>
      </c>
      <c r="I13" s="39" t="inlineStr">
        <is>
          <t>Training360 / Belső</t>
        </is>
      </c>
      <c r="J13" s="40" t="n">
        <v>120000</v>
      </c>
      <c r="K13" s="40" t="n">
        <v>0</v>
      </c>
      <c r="L13" s="41">
        <f>J13+K13</f>
        <v/>
      </c>
      <c r="M13" s="39" t="inlineStr">
        <is>
          <t>2026 H1</t>
        </is>
      </c>
    </row>
    <row r="14">
      <c r="A14" s="25" t="inlineStr">
        <is>
          <t>HALADÓ SZINT  |  Expert / Lead  —  Mester szint (3+ év tapasztalat)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5" t="n"/>
    </row>
    <row r="15" ht="91" customHeight="1" s="20">
      <c r="A15" s="11" t="n">
        <v>9</v>
      </c>
      <c r="B15" s="11" t="inlineStr">
        <is>
          <t>Agile coaching</t>
        </is>
      </c>
      <c r="C15" s="11" t="inlineStr">
        <is>
          <t>Agile coaching kompetenciák (ICAgile Agile Coaching keretrendszer): coaching, mentoring, facilitálás és tanítás szerepkörök; ICF GROW, Co-Active, Systemic modellek; aktív hallgatás és erős kérdések; team coaching vs. 1:1 coaching; szervezeti coaching: rendszerdinamika, polarity mapping; agilis transzformáció coaching kontextusban; coach etika és ICF Core Competencies; saját coaching stílus fejlesztése; peer coaching és supervision</t>
        </is>
      </c>
      <c r="D15" s="11" t="inlineStr">
        <is>
          <t>Miro (coaching workshopokhoz), Teams, belső coaching keretrendszer, CoachAccountable</t>
        </is>
      </c>
      <c r="E15" s="11" t="inlineStr">
        <is>
          <t>Claude: coaching kérdések generálása konkrét szituációra; fejlődési terv és coach log összefoglalás; AI-alapú 360 visszajelzés szintézis; Miro AI: csapat egészség vizualizáció retrospektívhez</t>
        </is>
      </c>
      <c r="F15" s="11" t="inlineStr">
        <is>
          <t>ICP-ACC (ICAgile Certified Professional – Agile Coaching) VAGY CEC (Certified Enterprise Coach – Scrum Alliance)</t>
        </is>
      </c>
      <c r="G15" s="11" t="inlineStr">
        <is>
          <t>Haladó szint</t>
        </is>
      </c>
      <c r="H15" s="11" t="inlineStr">
        <is>
          <t>ICP-ACC akkreditált tréning szükséges (2–3 napos). ICF ACC szint párhuzamosan coaching napló benyújtásával. Kb. 40–80 óra.</t>
        </is>
      </c>
      <c r="I15" s="42" t="inlineStr">
        <is>
          <t>ProMan / ICAgile</t>
        </is>
      </c>
      <c r="J15" s="43" t="n">
        <v>350000</v>
      </c>
      <c r="K15" s="43" t="n">
        <v>0</v>
      </c>
      <c r="L15" s="44">
        <f>J15+K15</f>
        <v/>
      </c>
      <c r="M15" s="42" t="inlineStr">
        <is>
          <t>2026 H2</t>
        </is>
      </c>
    </row>
    <row r="16" ht="91" customHeight="1" s="20">
      <c r="A16" s="11" t="n">
        <v>10</v>
      </c>
      <c r="B16" s="11" t="inlineStr">
        <is>
          <t>Agile transzformáció leadership</t>
        </is>
      </c>
      <c r="C16" s="11" t="inlineStr">
        <is>
          <t>Agile szervezeti transzformáció leadership perspektívából: agilis kultúra kialakítása és mérése; transzformáció típusok (bottom-up, top-down, middle-out); Servant Leadership; Squad model és platform team struktúrák; Agile HR: teljesítményértékelés agilis szervezetben; változásmenedzsment agilis kontextusban (Kotter + ADKAR); transzformáció mérőszámok (outcome vs. activity); OKR alapú szervezeti irányítás</t>
        </is>
      </c>
      <c r="D16" s="11" t="inlineStr">
        <is>
          <t>Miro, Confluence, Power BI, belső OKR platform (Perdoo, Lattice)</t>
        </is>
      </c>
      <c r="E16" s="11" t="inlineStr">
        <is>
          <t>AI-alapú transzformációs progress dashboard Power BI-ban; Copilot: exec kommunikáció és quarterly leadership update; Claude: transzformációs akadályok elemzése és ajánlott intervenciók; Miro AI: transzformációs roadmap vizualizáció</t>
        </is>
      </c>
      <c r="F16" s="11" t="inlineStr">
        <is>
          <t>SAFe Release Train Engineer (RTE) VAGY SAFe Lean Portfolio Management (LPM) VAGY ICP-ENT (ICAgile Enterprise Agile Coaching)</t>
        </is>
      </c>
      <c r="G16" s="11" t="inlineStr">
        <is>
          <t>Haladó szint</t>
        </is>
      </c>
      <c r="H16" s="11" t="inlineStr">
        <is>
          <t>SAFe RTE akkreditált tréning szükséges (4 napos). Ajánlott: Frederic Laloux – Reinventing Organizations. Kb. 40+ óra.</t>
        </is>
      </c>
      <c r="I16" s="42" t="inlineStr">
        <is>
          <t>ProMan / Scaled Agile</t>
        </is>
      </c>
      <c r="J16" s="43" t="n">
        <v>550000</v>
      </c>
      <c r="K16" s="43" t="n">
        <v>0</v>
      </c>
      <c r="L16" s="44">
        <f>J16+K16</f>
        <v/>
      </c>
      <c r="M16" s="42" t="inlineStr">
        <is>
          <t>2026 H2</t>
        </is>
      </c>
    </row>
    <row r="17" ht="91" customHeight="1" s="20">
      <c r="A17" s="11" t="n">
        <v>11</v>
      </c>
      <c r="B17" s="11" t="inlineStr">
        <is>
          <t>Lean és Flow optimalizálás</t>
        </is>
      </c>
      <c r="C17" s="11" t="inlineStr">
        <is>
          <t>Lean elvek és Flow optimalizálás: Toyota Production System, 7+1 veszteség IT-ban; Value Stream Mapping (VSM) – AS-IS és TO-BE állapot; WIP limitek és Little törvénye; Kanban módszer 4 alapelve és 6 practice-je (Kanban Guide); Monte Carlo szimuláció szállítási előrejelzéshez; Lean UX: validált tanulás, A/B tesztelés, hipotézisek; Design Thinking beágyazása Lean/Agile folyamatba; veszteségcsökkentési kezdeményezések mérése</t>
        </is>
      </c>
      <c r="D17" s="11" t="inlineStr">
        <is>
          <t>Miro (VSM diagramhoz), Kanbanize, Jira (kanban board), TargetProcess</t>
        </is>
      </c>
      <c r="E17" s="11" t="inlineStr">
        <is>
          <t>Miro AI + Draw.io MCP: Value Stream Map automatikus rajzolása és szűk keresztmetszet jelölése; Claude: Lean veszteségek azonosítása folyamatleírásból; AI-alapú flow anomália detektálás (bottleneck, blocker pattern)</t>
        </is>
      </c>
      <c r="F17" s="11" t="inlineStr">
        <is>
          <t>KMP I (Kanban Management Professional I – Kanban University) + opcionálisan: Lean Six Sigma Green Belt</t>
        </is>
      </c>
      <c r="G17" s="11" t="inlineStr">
        <is>
          <t>Haladó szint</t>
        </is>
      </c>
      <c r="H17" s="11" t="inlineStr">
        <is>
          <t>KMP I akkreditált tréning szükséges (2 napos). Kanbanize flow analytics eszköz próbaverzió. Kb. 24 óra.</t>
        </is>
      </c>
      <c r="I17" s="42" t="inlineStr">
        <is>
          <t>ProMan / Kanban Univ.</t>
        </is>
      </c>
      <c r="J17" s="43" t="n">
        <v>250000</v>
      </c>
      <c r="K17" s="43" t="n">
        <v>0</v>
      </c>
      <c r="L17" s="44">
        <f>J17+K17</f>
        <v/>
      </c>
      <c r="M17" s="42" t="inlineStr">
        <is>
          <t>2026 H2</t>
        </is>
      </c>
    </row>
    <row r="18">
      <c r="A18" s="48" t="n"/>
      <c r="B18" s="49" t="inlineStr">
        <is>
          <t>Alapszint összesen</t>
        </is>
      </c>
      <c r="C18" s="48" t="n"/>
      <c r="D18" s="48" t="n"/>
      <c r="E18" s="48" t="n"/>
      <c r="F18" s="48" t="n"/>
      <c r="G18" s="48" t="n"/>
      <c r="H18" s="48" t="n"/>
      <c r="I18" s="48" t="n"/>
      <c r="J18" s="50">
        <f>SUM(J5:J8)</f>
        <v/>
      </c>
      <c r="K18" s="50">
        <f>SUM(K5:K8)</f>
        <v/>
      </c>
      <c r="L18" s="50">
        <f>SUM(L5:L8)</f>
        <v/>
      </c>
      <c r="M18" s="48" t="n"/>
    </row>
    <row r="19">
      <c r="A19" s="51" t="n"/>
      <c r="B19" s="52" t="inlineStr">
        <is>
          <t>Középszint összesen</t>
        </is>
      </c>
      <c r="C19" s="51" t="n"/>
      <c r="D19" s="51" t="n"/>
      <c r="E19" s="51" t="n"/>
      <c r="F19" s="51" t="n"/>
      <c r="G19" s="51" t="n"/>
      <c r="H19" s="51" t="n"/>
      <c r="I19" s="51" t="n"/>
      <c r="J19" s="53">
        <f>SUM(J10:J13)</f>
        <v/>
      </c>
      <c r="K19" s="53">
        <f>SUM(K10:K13)</f>
        <v/>
      </c>
      <c r="L19" s="53">
        <f>SUM(L10:L13)</f>
        <v/>
      </c>
      <c r="M19" s="51" t="n"/>
    </row>
    <row r="20">
      <c r="A20" s="54" t="n"/>
      <c r="B20" s="55" t="inlineStr">
        <is>
          <t>Haladó szint összesen</t>
        </is>
      </c>
      <c r="C20" s="54" t="n"/>
      <c r="D20" s="54" t="n"/>
      <c r="E20" s="54" t="n"/>
      <c r="F20" s="54" t="n"/>
      <c r="G20" s="54" t="n"/>
      <c r="H20" s="54" t="n"/>
      <c r="I20" s="54" t="n"/>
      <c r="J20" s="56">
        <f>SUM(J15:J17)</f>
        <v/>
      </c>
      <c r="K20" s="56">
        <f>SUM(K15:K17)</f>
        <v/>
      </c>
      <c r="L20" s="56">
        <f>SUM(L15:L17)</f>
        <v/>
      </c>
      <c r="M20" s="54" t="n"/>
    </row>
    <row r="21">
      <c r="A21" s="57" t="n"/>
      <c r="B21" s="58" t="inlineStr">
        <is>
          <t>TELJES ÚTVONAL ÖSSZESEN</t>
        </is>
      </c>
      <c r="C21" s="57" t="n"/>
      <c r="D21" s="57" t="n"/>
      <c r="E21" s="57" t="n"/>
      <c r="F21" s="57" t="n"/>
      <c r="G21" s="57" t="n"/>
      <c r="H21" s="57" t="n"/>
      <c r="I21" s="57" t="n"/>
      <c r="J21" s="59">
        <f>J18+J19+J20</f>
        <v/>
      </c>
      <c r="K21" s="59">
        <f>K18+K19+K20</f>
        <v/>
      </c>
      <c r="L21" s="59">
        <f>L18+L19+L20</f>
        <v/>
      </c>
      <c r="M21" s="57" t="n"/>
    </row>
  </sheetData>
  <autoFilter ref="A3:H3"/>
  <mergeCells count="5">
    <mergeCell ref="A14:M14"/>
    <mergeCell ref="A1:M1"/>
    <mergeCell ref="A9:M9"/>
    <mergeCell ref="A4:M4"/>
    <mergeCell ref="A2:M2"/>
  </mergeCells>
  <pageMargins left="0.75" right="0.75" top="1" bottom="1" header="0.5" footer="0.5"/>
  <headerFooter>
    <oddHeader>&amp;C&amp;"Calibri"&amp;1 &amp;K000000 Internal#_x000d_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2E75B6"/>
    <outlinePr summaryBelow="1" summaryRight="1"/>
    <pageSetUpPr/>
  </sheetPr>
  <dimension ref="A1:M21"/>
  <sheetViews>
    <sheetView workbookViewId="0">
      <pane ySplit="3" topLeftCell="A11" activePane="bottomLeft" state="frozen"/>
      <selection pane="bottomLeft" activeCell="C7" sqref="C7"/>
    </sheetView>
  </sheetViews>
  <sheetFormatPr baseColWidth="8" defaultRowHeight="14.5"/>
  <cols>
    <col width="5" customWidth="1" style="20" min="1" max="1"/>
    <col width="28" customWidth="1" style="20" min="2" max="2"/>
    <col width="55" customWidth="1" style="20" min="3" max="3"/>
    <col width="30" customWidth="1" style="20" min="4" max="4"/>
    <col width="45" customWidth="1" style="20" min="5" max="5"/>
    <col width="35" customWidth="1" style="20" min="6" max="6"/>
    <col width="14" customWidth="1" style="20" min="7" max="7"/>
    <col width="30" customWidth="1" style="20" min="8" max="8"/>
    <col width="30" customWidth="1" style="20" min="9" max="9"/>
    <col width="20" customWidth="1" style="20" min="10" max="10"/>
    <col width="20" customWidth="1" style="20" min="11" max="11"/>
    <col width="22" customWidth="1" style="20" min="12" max="12"/>
    <col width="16" customWidth="1" style="20" min="13" max="13"/>
  </cols>
  <sheetData>
    <row r="1">
      <c r="A1" s="27" t="inlineStr">
        <is>
          <t>Tesztkoordináció &amp; Tesztelés  —  QA, Test Coordination, Test Management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8" t="n"/>
    </row>
    <row r="2">
      <c r="A2" s="13" t="inlineStr">
        <is>
          <t>A szoftverminőség őre. Tervezi, koordinálja és végrehajtja a tesztelési tevékenységeket a hibák korai felderítése érdekében.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5" t="n"/>
    </row>
    <row r="3">
      <c r="A3" s="1" t="inlineStr">
        <is>
          <t>#</t>
        </is>
      </c>
      <c r="B3" s="1" t="inlineStr">
        <is>
          <t>Képzési terület</t>
        </is>
      </c>
      <c r="C3" s="1" t="inlineStr">
        <is>
          <t>Képzési tartalom</t>
        </is>
      </c>
      <c r="D3" s="1" t="inlineStr">
        <is>
          <t>Eszköz / Platform</t>
        </is>
      </c>
      <c r="E3" s="1" t="inlineStr">
        <is>
          <t>AI lehetőség</t>
        </is>
      </c>
      <c r="F3" s="1" t="inlineStr">
        <is>
          <t>Bizonyítvány / Kimenet</t>
        </is>
      </c>
      <c r="G3" s="1" t="inlineStr">
        <is>
          <t>Szint</t>
        </is>
      </c>
      <c r="H3" s="1" t="inlineStr">
        <is>
          <t>Megjegyzés</t>
        </is>
      </c>
      <c r="I3" s="30" t="inlineStr">
        <is>
          <t>Képzőhely / Provider</t>
        </is>
      </c>
      <c r="J3" s="30" t="inlineStr">
        <is>
          <t>Képzési díj (nettó Ft)</t>
        </is>
      </c>
      <c r="K3" s="30" t="inlineStr">
        <is>
          <t>Vizsgadíj (nettó Ft)</t>
        </is>
      </c>
      <c r="L3" s="30" t="inlineStr">
        <is>
          <t>Össz. költség/fő (Ft)</t>
        </is>
      </c>
      <c r="M3" s="30" t="inlineStr">
        <is>
          <t>Javasolt félév</t>
        </is>
      </c>
    </row>
    <row r="4">
      <c r="A4" s="23" t="inlineStr">
        <is>
          <t>ALAPSZINT  |  Foundation  —  Belépő szint (0–1 év tapasztalat)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5" t="n"/>
    </row>
    <row r="5" ht="91" customHeight="1" s="20">
      <c r="A5" s="9" t="n">
        <v>1</v>
      </c>
      <c r="B5" s="9" t="inlineStr">
        <is>
          <t>Szoftvertesztelés alapjai</t>
        </is>
      </c>
      <c r="C5" s="9" t="inlineStr">
        <is>
          <t>Szoftvertesztelés alaptankönyv (ISTQB CTFL 4.0 syllabus): tesztelési alapelvek (7 alaptétel); teszttípusok: funkcionális (black-box), nem-funkcionális (teljesítmény, biztonsági, usability), white-box, change-related; tesztszintek: unit, komponens, integrációs, rendszer, UAT; teszttechnikák: ekvivalencia osztályozás, határérték elemzés, döntési tábla, állapotátmeneti tesztelés, exploratory testing; V-modell és agilis tesztelési negyed-modell</t>
        </is>
      </c>
      <c r="D5" s="9" t="inlineStr">
        <is>
          <t>ISTQB CTFL 4.0 official tananyag, Whizlabs ISTQB practice tests, belső e-learning</t>
        </is>
      </c>
      <c r="E5" s="9" t="inlineStr">
        <is>
          <t>Claude: tesztelési fogalmak magyarázata és vizsgafelkészítő kérdések generálása; teszteset template és checklist generálás boundary value példákkal; "Adj boundary value teszteseteket ehhez a specifikációhoz" prompt</t>
        </is>
      </c>
      <c r="F5" s="9" t="inlineStr">
        <is>
          <t>ISTQB Certified Tester Foundation Level (CTFL 4.0) – 40 kérdés, 65% átmenő, 60 perc</t>
        </is>
      </c>
      <c r="G5" s="9" t="inlineStr">
        <is>
          <t>Alapszint</t>
        </is>
      </c>
      <c r="H5" s="9" t="inlineStr">
        <is>
          <t>CTFL az iparági standard belépő cert. ISTQB online free sample exams. Kb. 24–32 óra felkészülés + vizsga.</t>
        </is>
      </c>
      <c r="I5" s="36" t="inlineStr">
        <is>
          <t>Ruander / TesterLab</t>
        </is>
      </c>
      <c r="J5" s="37" t="n">
        <v>85000</v>
      </c>
      <c r="K5" s="37" t="n">
        <v>81250</v>
      </c>
      <c r="L5" s="38">
        <f>J5+K5</f>
        <v/>
      </c>
      <c r="M5" s="36" t="inlineStr">
        <is>
          <t>2025 H2</t>
        </is>
      </c>
    </row>
    <row r="6" ht="78" customHeight="1" s="20">
      <c r="A6" s="9" t="n">
        <v>2</v>
      </c>
      <c r="B6" s="9" t="inlineStr">
        <is>
          <t>Tesztmenedzsment eszközök</t>
        </is>
      </c>
      <c r="C6" s="9" t="inlineStr">
        <is>
          <t>Tesztmenedzsment és -végrehajtás eszközök professzionális ismerete: TestRail – tesztterv, teszteset, tesztciklus, run, milestone, riportok; Jira Xray – teszteset mint Jira issue, automatizált tesztvégrehajtás eredmény, Xray dashboard; qTest – enterprise tesztmenedzsment és Jira integráció; Zephyr Scale – test cycle, execution, coverage riport; hibajelentés felépítése; metrikai riportok exportálása és prezentálása</t>
        </is>
      </c>
      <c r="D6" s="9" t="inlineStr">
        <is>
          <t>TestRail (30 napos trial), Jira Xray, qTest, Zephyr Scale (Jira-ban natív)</t>
        </is>
      </c>
      <c r="E6" s="9" t="inlineStr">
        <is>
          <t>Atlassian Intelligence: automatikus teszteset-összefoglalók és kockázatalapú tesztelési javaslat; Claude: teszteset generálás user story-ból CTFL-konform formátumban; AI-alapú defektszám trend elemzés</t>
        </is>
      </c>
      <c r="F6" s="9" t="inlineStr">
        <is>
          <t>Vendor alapképzés: TestRail Certification VAGY Xray Certified Associate; ISTQB Foundation előfeltétel</t>
        </is>
      </c>
      <c r="G6" s="9" t="inlineStr">
        <is>
          <t>Alapszint</t>
        </is>
      </c>
      <c r="H6" s="9" t="inlineStr">
        <is>
          <t>TestRail ingyenes 30 napos trial. Xray Jira Cloud-on próbálható. Eszközválasztás cégtől függ. Kb. 16 óra.</t>
        </is>
      </c>
      <c r="I6" s="36" t="inlineStr">
        <is>
          <t>Training360 / Ruander</t>
        </is>
      </c>
      <c r="J6" s="37" t="n">
        <v>150000</v>
      </c>
      <c r="K6" s="37" t="n">
        <v>0</v>
      </c>
      <c r="L6" s="38">
        <f>J6+K6</f>
        <v/>
      </c>
      <c r="M6" s="36" t="inlineStr">
        <is>
          <t>2025 H2</t>
        </is>
      </c>
    </row>
    <row r="7" ht="104" customHeight="1" s="20">
      <c r="A7" s="9" t="n">
        <v>3</v>
      </c>
      <c r="B7" s="9" t="inlineStr">
        <is>
          <t>Defektmenedzsment</t>
        </is>
      </c>
      <c r="C7" s="9" t="inlineStr">
        <is>
          <t>Defektmenedzsment komplex folyamata: jó bug report (cím, lépések, expected/actual result, evidence, environment, severity, priority); severity skálák (S1-S4) és priority szintek (P1-P4); defekt életciklusa (new – assigned – in progress – fixed – verified – closed); defekt clustering és root cause besorolás (Orthogonal Defect Classification – ODC); defekt riportok és trend elemzés (defect density, defect removal efficiency); visszaellenőrzés és re-test folyamat; test closure feltételek</t>
        </is>
      </c>
      <c r="D7" s="9" t="inlineStr">
        <is>
          <t>Jira, Azure DevOps, TestRail (defect management modul)</t>
        </is>
      </c>
      <c r="E7" s="9" t="inlineStr">
        <is>
          <t>Claude: bug report minőségellenőrzés és kiegészítési javaslat ("Hiányzik-e valami erről a bug report-ról?"); defektcsoportosítás ODC kategóriákba; Atlassian Intelligence: hasonló hibák azonosítása és duplikát jelölés</t>
        </is>
      </c>
      <c r="F7" s="9" t="inlineStr">
        <is>
          <t>Belső QA onboarding igazolás + min. 20 valódi hibajegy minőségi megírása és lezárása</t>
        </is>
      </c>
      <c r="G7" s="9" t="inlineStr">
        <is>
          <t>Alapszint</t>
        </is>
      </c>
      <c r="H7" s="9" t="inlineStr">
        <is>
          <t>ODC (Orthogonal Defect Classification) IBM módszertan, ingyenesen elérhető. Defekt riport írás kulcskompetencia. Kb. 8 óra.</t>
        </is>
      </c>
      <c r="I7" s="36" t="inlineStr">
        <is>
          <t>Belső képzés / Ruander</t>
        </is>
      </c>
      <c r="J7" s="37" t="n">
        <v>85000</v>
      </c>
      <c r="K7" s="37" t="n">
        <v>0</v>
      </c>
      <c r="L7" s="38">
        <f>J7+K7</f>
        <v/>
      </c>
      <c r="M7" s="36" t="inlineStr">
        <is>
          <t>2025 H2</t>
        </is>
      </c>
    </row>
    <row r="8" ht="104" customHeight="1" s="20">
      <c r="A8" s="9" t="n">
        <v>4</v>
      </c>
      <c r="B8" s="9" t="inlineStr">
        <is>
          <t>Agilis tesztelés</t>
        </is>
      </c>
      <c r="C8" s="9" t="inlineStr">
        <is>
          <t>Tesztelő szerepe agilis csapatban: Scrum Developer mint tesztelő; Definition of Done tesztelési elemei; "Whole team approach" a minőségért; shift-left tesztelés a sprint elejétől; BDD (Behaviour-Driven Development): Gherkin feature fájlok írása, Cucumber/SpecFlow alapok; exploratory testing: session-based testing, charter írás; tesztelés agilis metrikák (test coverage, defect leakage, escaped defects); agilis tesztelési kvadráns modell (Brian Marick)</t>
        </is>
      </c>
      <c r="D8" s="9" t="inlineStr">
        <is>
          <t>Jira, Confluence, Miro, Cucumber (Java/JVM), SpecFlow (.NET), FitNesse</t>
        </is>
      </c>
      <c r="E8" s="9" t="inlineStr">
        <is>
          <t>Miro AI: sprint tesztelési stratégia és kockázatalapú tesztelési fókusz vizualizáció; Copilot: sprint testing checklist generálása Sprint Goal alapján; Claude: Gherkin scenario-k írása user story-ból Given-When-Then formátumban</t>
        </is>
      </c>
      <c r="F8" s="9" t="inlineStr">
        <is>
          <t>Belső agile tesztelés workshop igazolás + min. 5 BDD scenario Gherkinben megírva és lezárva</t>
        </is>
      </c>
      <c r="G8" s="9" t="inlineStr">
        <is>
          <t>Alapszint</t>
        </is>
      </c>
      <c r="H8" s="9" t="inlineStr">
        <is>
          <t>Ajánlott: Lisa Crispin &amp; Janet Gregory – Agile Testing. Cucumber/SpecFlow ingyenes. Kb. 12 óra.</t>
        </is>
      </c>
      <c r="I8" s="36" t="inlineStr">
        <is>
          <t>Ruander / Training360</t>
        </is>
      </c>
      <c r="J8" s="37" t="n">
        <v>120000</v>
      </c>
      <c r="K8" s="37" t="n">
        <v>0</v>
      </c>
      <c r="L8" s="38">
        <f>J8+K8</f>
        <v/>
      </c>
      <c r="M8" s="36" t="inlineStr">
        <is>
          <t>2025 H2</t>
        </is>
      </c>
    </row>
    <row r="9">
      <c r="A9" s="22" t="inlineStr">
        <is>
          <t>KÖZÉPSZINT  |  Practitioner  —  Fejlesztő szint (1–3 év tapasztalat)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5" t="n"/>
    </row>
    <row r="10" ht="91" customHeight="1" s="20">
      <c r="A10" s="10" t="n">
        <v>5</v>
      </c>
      <c r="B10" s="10" t="inlineStr">
        <is>
          <t>Tesztkoordináció és teszttervezés</t>
        </is>
      </c>
      <c r="C10" s="10" t="inlineStr">
        <is>
          <t>Teszttervezés és koordináció (ISO 29119 alapján): tesztstratégia és tesztterv (célok, hatókör, megközelítés, kockázatok, erőforrások); tesztbecslési technikák (expert judgment, analogy-based, test point analysis); erőforrás-koordináció és kapacitástervezés; tesztkörnyezet kezelés (test environment management); teszt adat kezelés (TDM); tesztriportok (progress, összefoglaló, defekt riport); tesztzárási kritériumok; UAT koordinálás üzleti felhasználókkal</t>
        </is>
      </c>
      <c r="D10" s="10" t="inlineStr">
        <is>
          <t>TestRail, Confluence, Excel, ServiceNow (test management)</t>
        </is>
      </c>
      <c r="E10" s="10" t="inlineStr">
        <is>
          <t>Claude: tesztterv dokumentum tervezet generálás projekt leírásból; kockázatalapú tesztelési stratégia javaslat; tesztbecslés AI-alapú felbontása; Power BI: tesztvégrehajtási progress dashboard</t>
        </is>
      </c>
      <c r="F10" s="10" t="inlineStr">
        <is>
          <t>ISTQB Test Manager (CTAL-TM) – Advanced Level, 65 kérdés, 70% átmenő</t>
        </is>
      </c>
      <c r="G10" s="10" t="inlineStr">
        <is>
          <t>Középszint</t>
        </is>
      </c>
      <c r="H10" s="10" t="inlineStr">
        <is>
          <t>CTAL-TM előfeltétel: CTFL cert + 18 hónap tapasztalat. Rex Black könyv ajánlott. Kb. 40–60 óra felkészülés.</t>
        </is>
      </c>
      <c r="I10" s="39" t="inlineStr">
        <is>
          <t>Ruander</t>
        </is>
      </c>
      <c r="J10" s="40" t="n">
        <v>250000</v>
      </c>
      <c r="K10" s="40" t="n">
        <v>152000</v>
      </c>
      <c r="L10" s="41">
        <f>J10+K10</f>
        <v/>
      </c>
      <c r="M10" s="39" t="inlineStr">
        <is>
          <t>2026 H1</t>
        </is>
      </c>
    </row>
    <row r="11" ht="91" customHeight="1" s="20">
      <c r="A11" s="10" t="n">
        <v>6</v>
      </c>
      <c r="B11" s="10" t="inlineStr">
        <is>
          <t>Tesztautomatizálás alapok</t>
        </is>
      </c>
      <c r="C11" s="10" t="inlineStr">
        <is>
          <t>Tesztautomatizálás stratégia és implementáció: automatizálási döntési kritériumok; tesztpiramis (unit – integráció – E2E) és anti-patternek; Selenium WebDriver: Java/Python alapok, locator stratégiák, Page Object Model (POM); Playwright: modern, párhuzamos E2E teszt; API tesztelés: Postman (collection, environment, test scripts), RestAssured; pytest / JUnit; CI/CD integráció: GitHub Actions / Jenkins pipeline</t>
        </is>
      </c>
      <c r="D11" s="10" t="inlineStr">
        <is>
          <t>Selenium WebDriver, Playwright, Postman, RestAssured, pytest, JUnit, GitHub Actions, Jenkins</t>
        </is>
      </c>
      <c r="E11" s="10" t="inlineStr">
        <is>
          <t>Claude Code: tesztkód generálás és refaktorálás Playwright/Selenium alapon; AI tesztforgatókönyv javaslat funkcionális leírásból; GitHub Copilot: teszt kód kiegészítés és assertion javaslatok</t>
        </is>
      </c>
      <c r="F11" s="10" t="inlineStr">
        <is>
          <t>ISTQB Test Automation Engineer (TAE) – Advanced Level; opcionálisan: Playwright official certification</t>
        </is>
      </c>
      <c r="G11" s="10" t="inlineStr">
        <is>
          <t>Középszint</t>
        </is>
      </c>
      <c r="H11" s="10" t="inlineStr">
        <is>
          <t>Playwright a Selenium modern alternatívája – gyorsabb és megbízhatóbb. Claude Code tesztkód generálás erősen ajánlott. Kb. 40–60 óra.</t>
        </is>
      </c>
      <c r="I11" s="39" t="inlineStr">
        <is>
          <t>HWSW / Training360</t>
        </is>
      </c>
      <c r="J11" s="40" t="n">
        <v>169000</v>
      </c>
      <c r="K11" s="40" t="n">
        <v>0</v>
      </c>
      <c r="L11" s="41">
        <f>J11+K11</f>
        <v/>
      </c>
      <c r="M11" s="39" t="inlineStr">
        <is>
          <t>2026 H1</t>
        </is>
      </c>
    </row>
    <row r="12" ht="91" customHeight="1" s="20">
      <c r="A12" s="10" t="n">
        <v>7</v>
      </c>
      <c r="B12" s="10" t="inlineStr">
        <is>
          <t>Teljesítmény- és terheléstesztelés</t>
        </is>
      </c>
      <c r="C12" s="10" t="inlineStr">
        <is>
          <t>Teljesítménytesztelés típusai: load test, stress test, soak/endurance test, spike test, volume test; JMeter alapok: thread groups, samplers, listeners, assertions, paraméteres adatforrások; k6 (modern JS-alapú alternatíva); teljesítményteszt környezeti igények; bottleneck azonosítás: CPU, memória, I/O, hálózat; eredmény értelmezés: percentilisek (P50, P90, P95, P99), TPS, error rate; Grafana + InfluxDB monitoring integráció</t>
        </is>
      </c>
      <c r="D12" s="10" t="inlineStr">
        <is>
          <t>JMeter, k6, Gatling, Grafana + InfluxDB, New Relic (APM alapok)</t>
        </is>
      </c>
      <c r="E12" s="10" t="inlineStr">
        <is>
          <t>AI-alapú teljesítmény anomália azonosítás Grafana-ban; Claude: JMeter script generálás terhelési forgatókönyv leírásból; k6 script AI-generálás JavaScript alapon; anomális teljesítménycsökkés root cause elemzés</t>
        </is>
      </c>
      <c r="F12" s="10" t="inlineStr">
        <is>
          <t>ISTQB Performance Testing (PT) Specialist + belső JMeter workshop elvégzési igazolás</t>
        </is>
      </c>
      <c r="G12" s="10" t="inlineStr">
        <is>
          <t>Középszint</t>
        </is>
      </c>
      <c r="H12" s="10" t="inlineStr">
        <is>
          <t>k6 egyszerűbb alternatíva JMeter-hez. Grafana + InfluxDB ingyenes stack. APM eszközismeret (New Relic) plusz. Kb. 24 óra.</t>
        </is>
      </c>
      <c r="I12" s="39" t="inlineStr">
        <is>
          <t>HWSW / Training360</t>
        </is>
      </c>
      <c r="J12" s="40" t="n">
        <v>149000</v>
      </c>
      <c r="K12" s="40" t="n">
        <v>0</v>
      </c>
      <c r="L12" s="41">
        <f>J12+K12</f>
        <v/>
      </c>
      <c r="M12" s="39" t="inlineStr">
        <is>
          <t>2026 H1</t>
        </is>
      </c>
    </row>
    <row r="13" ht="91" customHeight="1" s="20">
      <c r="A13" s="10" t="n">
        <v>8</v>
      </c>
      <c r="B13" s="10" t="inlineStr">
        <is>
          <t>Minőségbiztosítás (QA) folyamatok</t>
        </is>
      </c>
      <c r="C13" s="10" t="inlineStr">
        <is>
          <t>Minőségbiztosítás beágyazása a SDLC-be: testability – kód tesztelhetősége és tervezési elvek (DI, interface szeparáció); quality gate-ek CI/CD pipeline-ban; SonarQube konfiguráció: quality profile, quality gate, coverage és code smell riportok; code review QA szempontjai és checklist; QA KPI-ok: test coverage %, defect density, defect removal efficiency, escaped defects; QA process audit; ISO/IEC 25010 szoftverminőségi modell</t>
        </is>
      </c>
      <c r="D13" s="10" t="inlineStr">
        <is>
          <t>SonarQube (Community Edition), Jira, Confluence, GitHub / GitLab (code review), Codecov</t>
        </is>
      </c>
      <c r="E13" s="10" t="inlineStr">
        <is>
          <t>SonarQube AI insights: code smell és security hotspot magyarázat; Claude Code: code review QA szempontból automatikusan; GitHub Copilot: kód minőség javítási javaslatok; AI-alapú test coverage növelési stratégia javaslat</t>
        </is>
      </c>
      <c r="F13" s="10" t="inlineStr">
        <is>
          <t>Belső QA process tréning + ISO 9001 / ISO 25010 awareness képzés</t>
        </is>
      </c>
      <c r="G13" s="10" t="inlineStr">
        <is>
          <t>Középszint</t>
        </is>
      </c>
      <c r="H13" s="10" t="inlineStr">
        <is>
          <t>SonarQube Community ingyenes. GitHub Actions SonarCloud integráció egyszerűen konfigurálható. Kb. 16 óra.</t>
        </is>
      </c>
      <c r="I13" s="39" t="inlineStr">
        <is>
          <t>Training360 / SZÁMALK</t>
        </is>
      </c>
      <c r="J13" s="40" t="n">
        <v>120000</v>
      </c>
      <c r="K13" s="40" t="n">
        <v>0</v>
      </c>
      <c r="L13" s="41">
        <f>J13+K13</f>
        <v/>
      </c>
      <c r="M13" s="39" t="inlineStr">
        <is>
          <t>2026 H1</t>
        </is>
      </c>
    </row>
    <row r="14">
      <c r="A14" s="25" t="inlineStr">
        <is>
          <t>HALADÓ SZINT  |  Expert / Lead  —  Mester szint (3+ év tapasztalat)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5" t="n"/>
    </row>
    <row r="15" ht="91" customHeight="1" s="20">
      <c r="A15" s="11" t="n">
        <v>9</v>
      </c>
      <c r="B15" s="11" t="inlineStr">
        <is>
          <t>Tesztstratégia vállalati szinten</t>
        </is>
      </c>
      <c r="C15" s="11" t="inlineStr">
        <is>
          <t>Enterprise tesztstratégia és Test Center of Excellence (TCoE) felépítése: TMMi (Test Maturity Model Integration) szintrendszer – 5 szint és assessment; vállalati szintű tesztstratégia (scope, approach, risk-based prioritizálás, toolchain, metrikák); TCoE szervezeti modell (centralizált/federated/hybrid); tesztelési irányítás: standardok, sablonok, módszertan; szállítói tesztelési feladatkörök; test engineering guild / community of practice; vállalati QA KPI benchmark</t>
        </is>
      </c>
      <c r="D15" s="11" t="inlineStr">
        <is>
          <t>Confluence, Power BI, Excel, TMMi Foundation dokumentumok (tmmi.org)</t>
        </is>
      </c>
      <c r="E15" s="11" t="inlineStr">
        <is>
          <t>Power BI Copilot: QA KPI executive dashboard; Claude: tesztstratégia dokumentum asszisztens – hiányok azonosítása és javaslatok; TMMi szint assessment segítség; Copilot: TCoE charter és fejlesztési roadmap generálás</t>
        </is>
      </c>
      <c r="F15" s="11" t="inlineStr">
        <is>
          <t>ISTQB Expert Level (CTEL) – Test Management VAGY TMMi Professional (TMMi Foundation)</t>
        </is>
      </c>
      <c r="G15" s="11" t="inlineStr">
        <is>
          <t>Haladó szint</t>
        </is>
      </c>
      <c r="H15" s="11" t="inlineStr">
        <is>
          <t>CTEL előfeltétel: CTFL + CTAL + 5 év tapasztalat. TMMi Foundation online elvégezhető. Kb. 80+ óra felkészülés.</t>
        </is>
      </c>
      <c r="I15" s="42" t="inlineStr">
        <is>
          <t>Ruander / Training360</t>
        </is>
      </c>
      <c r="J15" s="43" t="n">
        <v>350000</v>
      </c>
      <c r="K15" s="43" t="n">
        <v>0</v>
      </c>
      <c r="L15" s="44">
        <f>J15+K15</f>
        <v/>
      </c>
      <c r="M15" s="42" t="inlineStr">
        <is>
          <t>2026 H2</t>
        </is>
      </c>
    </row>
    <row r="16" ht="91" customHeight="1" s="20">
      <c r="A16" s="11" t="n">
        <v>10</v>
      </c>
      <c r="B16" s="11" t="inlineStr">
        <is>
          <t>AI-alapú tesztelés</t>
        </is>
      </c>
      <c r="C16" s="11" t="inlineStr">
        <is>
          <t>AI-alapú tesztelési technikák és eszközök: AI tesztgenerálás – Copilot for Tests (GitHub), CodiumAI, Diffblue Cover (Java); intelligens exploratory testing: AI-javasolt tesztutak; visual AI tesztelés: Applitools Eyes – layout, visual regression, cross-browser AI összehasonlítás; mutáció tesztelés (PIT/Java, Stryker/JS); prediktív hibaazonosítás ML-alapon; AI-alapú tesztmaintenance (self-healing locatorok); tesztelési ROI maximalizálása AI-jal</t>
        </is>
      </c>
      <c r="D16" s="11" t="inlineStr">
        <is>
          <t>GitHub Copilot, Applitools Eyes, Diffblue Cover, CodiumAI, PIT Mutation Testing, Stryker Mutator</t>
        </is>
      </c>
      <c r="E16" s="11" t="inlineStr">
        <is>
          <t>Claude Code: unit és integrációs teszt generálás meglévő kód alapján; Applitools AI: visual regression automatikus kiértékelés; GitHub Copilot: teszt completion és assertion generálás; AI self-healing selector javaslat</t>
        </is>
      </c>
      <c r="F16" s="11" t="inlineStr">
        <is>
          <t>Applitools Visual AI Rockstar certificate (ingyenes online) + GitHub Copilot tesztelési workshop igazolás</t>
        </is>
      </c>
      <c r="G16" s="11" t="inlineStr">
        <is>
          <t>Haladó szint</t>
        </is>
      </c>
      <c r="H16" s="11" t="inlineStr">
        <is>
          <t>Gyorsan fejlődő terület: 2025-ben robbanásszerű növekedés. AI kiegészíti, nem helyettesíti a tesztelőt. Kb. 20 óra + folyamatos követés.</t>
        </is>
      </c>
      <c r="I16" s="42" t="inlineStr">
        <is>
          <t>HWSW / Applitools (online)</t>
        </is>
      </c>
      <c r="J16" s="43" t="n">
        <v>169000</v>
      </c>
      <c r="K16" s="43" t="n">
        <v>0</v>
      </c>
      <c r="L16" s="44">
        <f>J16+K16</f>
        <v/>
      </c>
      <c r="M16" s="42" t="inlineStr">
        <is>
          <t>2026 H2</t>
        </is>
      </c>
    </row>
    <row r="17" ht="91" customHeight="1" s="20">
      <c r="A17" s="11" t="n">
        <v>11</v>
      </c>
      <c r="B17" s="11" t="inlineStr">
        <is>
          <t>DevOps és continuous testing</t>
        </is>
      </c>
      <c r="C17" s="11" t="inlineStr">
        <is>
          <t>DevOps és folyamatos tesztelés integrálása: CI/CD pipeline tesztelési rétegei (pre-commit, PR, nightly, release); shift-left: tesztelés a sprint elejétől; shift-right: production monitoring, A/B testing, canary deploy; feature flags (LaunchDarkly, Azure App Configuration); chaos engineering alapok (Chaos Monkey, toxiproxy); contract testing (Pact); synthetic monitoring; test environment as code (Terraform + test infra); pipeline quality gate és automatikus visszagörgetés</t>
        </is>
      </c>
      <c r="D17" s="11" t="inlineStr">
        <is>
          <t>Jenkins, GitHub Actions, Azure DevOps, GitLab CI, LaunchDarkly, Pact, Chaos Monkey, Terraform</t>
        </is>
      </c>
      <c r="E17" s="11" t="inlineStr">
        <is>
          <t>Claude Code: CI/CD pipeline YAML konfiguráció írás segítség; GitHub Copilot: pipeline és Dockerfile generálás; AI teszteredmény elemzés és flaky test azonosítás; Copilot: chaos engineering szcenárió tervezet</t>
        </is>
      </c>
      <c r="F17" s="11" t="inlineStr">
        <is>
          <t>DevOps Foundation (DevOps Institute) VAGY GitHub Actions certification VAGY GitLab DevOps Professional</t>
        </is>
      </c>
      <c r="G17" s="11" t="inlineStr">
        <is>
          <t>Haladó szint</t>
        </is>
      </c>
      <c r="H17" s="11" t="inlineStr">
        <is>
          <t>GitHub Actions és Azure Pipelines ingyenesen tanulható. Chaos engineering lassú bevezetése ajánlott – nem éles rendszeren! Kb. 24 óra.</t>
        </is>
      </c>
      <c r="I17" s="42" t="inlineStr">
        <is>
          <t>HWSW / SZÁMALK</t>
        </is>
      </c>
      <c r="J17" s="43" t="n">
        <v>169000</v>
      </c>
      <c r="K17" s="43" t="n">
        <v>102600</v>
      </c>
      <c r="L17" s="44">
        <f>J17+K17</f>
        <v/>
      </c>
      <c r="M17" s="42" t="inlineStr">
        <is>
          <t>2026 H2</t>
        </is>
      </c>
    </row>
    <row r="18">
      <c r="A18" s="48" t="n"/>
      <c r="B18" s="49" t="inlineStr">
        <is>
          <t>Alapszint összesen</t>
        </is>
      </c>
      <c r="C18" s="48" t="n"/>
      <c r="D18" s="48" t="n"/>
      <c r="E18" s="48" t="n"/>
      <c r="F18" s="48" t="n"/>
      <c r="G18" s="48" t="n"/>
      <c r="H18" s="48" t="n"/>
      <c r="I18" s="48" t="n"/>
      <c r="J18" s="50">
        <f>SUM(J5:J8)</f>
        <v/>
      </c>
      <c r="K18" s="50">
        <f>SUM(K5:K8)</f>
        <v/>
      </c>
      <c r="L18" s="50">
        <f>SUM(L5:L8)</f>
        <v/>
      </c>
      <c r="M18" s="48" t="n"/>
    </row>
    <row r="19">
      <c r="A19" s="51" t="n"/>
      <c r="B19" s="52" t="inlineStr">
        <is>
          <t>Középszint összesen</t>
        </is>
      </c>
      <c r="C19" s="51" t="n"/>
      <c r="D19" s="51" t="n"/>
      <c r="E19" s="51" t="n"/>
      <c r="F19" s="51" t="n"/>
      <c r="G19" s="51" t="n"/>
      <c r="H19" s="51" t="n"/>
      <c r="I19" s="51" t="n"/>
      <c r="J19" s="53">
        <f>SUM(J10:J13)</f>
        <v/>
      </c>
      <c r="K19" s="53">
        <f>SUM(K10:K13)</f>
        <v/>
      </c>
      <c r="L19" s="53">
        <f>SUM(L10:L13)</f>
        <v/>
      </c>
      <c r="M19" s="51" t="n"/>
    </row>
    <row r="20">
      <c r="A20" s="54" t="n"/>
      <c r="B20" s="55" t="inlineStr">
        <is>
          <t>Haladó szint összesen</t>
        </is>
      </c>
      <c r="C20" s="54" t="n"/>
      <c r="D20" s="54" t="n"/>
      <c r="E20" s="54" t="n"/>
      <c r="F20" s="54" t="n"/>
      <c r="G20" s="54" t="n"/>
      <c r="H20" s="54" t="n"/>
      <c r="I20" s="54" t="n"/>
      <c r="J20" s="56">
        <f>SUM(J15:J17)</f>
        <v/>
      </c>
      <c r="K20" s="56">
        <f>SUM(K15:K17)</f>
        <v/>
      </c>
      <c r="L20" s="56">
        <f>SUM(L15:L17)</f>
        <v/>
      </c>
      <c r="M20" s="54" t="n"/>
    </row>
    <row r="21">
      <c r="A21" s="57" t="n"/>
      <c r="B21" s="58" t="inlineStr">
        <is>
          <t>TELJES ÚTVONAL ÖSSZESEN</t>
        </is>
      </c>
      <c r="C21" s="57" t="n"/>
      <c r="D21" s="57" t="n"/>
      <c r="E21" s="57" t="n"/>
      <c r="F21" s="57" t="n"/>
      <c r="G21" s="57" t="n"/>
      <c r="H21" s="57" t="n"/>
      <c r="I21" s="57" t="n"/>
      <c r="J21" s="59">
        <f>J18+J19+J20</f>
        <v/>
      </c>
      <c r="K21" s="59">
        <f>K18+K19+K20</f>
        <v/>
      </c>
      <c r="L21" s="59">
        <f>L18+L19+L20</f>
        <v/>
      </c>
      <c r="M21" s="57" t="n"/>
    </row>
  </sheetData>
  <autoFilter ref="A3:H3"/>
  <mergeCells count="5">
    <mergeCell ref="A14:M14"/>
    <mergeCell ref="A1:M1"/>
    <mergeCell ref="A9:M9"/>
    <mergeCell ref="A4:M4"/>
    <mergeCell ref="A2:M2"/>
  </mergeCells>
  <pageMargins left="0.75" right="0.75" top="1" bottom="1" header="0.5" footer="0.5"/>
  <headerFooter>
    <oddHeader>&amp;C&amp;"Calibri"&amp;1 &amp;K000000 Internal#_x000d_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2E75B6"/>
    <outlinePr summaryBelow="1" summaryRight="1"/>
    <pageSetUpPr/>
  </sheetPr>
  <dimension ref="A1:M21"/>
  <sheetViews>
    <sheetView workbookViewId="0">
      <pane ySplit="3" topLeftCell="A5" activePane="bottomLeft" state="frozen"/>
      <selection pane="bottomLeft" activeCell="C6" sqref="C6"/>
    </sheetView>
  </sheetViews>
  <sheetFormatPr baseColWidth="8" defaultRowHeight="14.5"/>
  <cols>
    <col width="5" customWidth="1" style="20" min="1" max="1"/>
    <col width="28" customWidth="1" style="20" min="2" max="2"/>
    <col width="55" customWidth="1" style="20" min="3" max="3"/>
    <col width="30" customWidth="1" style="20" min="4" max="4"/>
    <col width="45" customWidth="1" style="20" min="5" max="5"/>
    <col width="35" customWidth="1" style="20" min="6" max="6"/>
    <col width="14" customWidth="1" style="20" min="7" max="7"/>
    <col width="30" customWidth="1" style="20" min="8" max="8"/>
    <col width="30" customWidth="1" style="20" min="9" max="9"/>
    <col width="20" customWidth="1" style="20" min="10" max="10"/>
    <col width="20" customWidth="1" style="20" min="11" max="11"/>
    <col width="22" customWidth="1" style="20" min="12" max="12"/>
    <col width="16" customWidth="1" style="20" min="13" max="13"/>
  </cols>
  <sheetData>
    <row r="1">
      <c r="A1" s="27" t="inlineStr">
        <is>
          <t>Projektmenedzsment  —  IT Project Management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8" t="n"/>
    </row>
    <row r="2">
      <c r="A2" s="13" t="inlineStr">
        <is>
          <t>Az IT projektek sikeres leszállításának felelőse. Irányítja a projektcsapatot, kezeli a kockázatokat, és biztosítja a határidők, költségek és minőség egyensúlyát.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5" t="n"/>
    </row>
    <row r="3">
      <c r="A3" s="1" t="inlineStr">
        <is>
          <t>#</t>
        </is>
      </c>
      <c r="B3" s="1" t="inlineStr">
        <is>
          <t>Képzési terület</t>
        </is>
      </c>
      <c r="C3" s="1" t="inlineStr">
        <is>
          <t>Képzési tartalom</t>
        </is>
      </c>
      <c r="D3" s="1" t="inlineStr">
        <is>
          <t>Eszköz / Platform</t>
        </is>
      </c>
      <c r="E3" s="1" t="inlineStr">
        <is>
          <t>AI lehetőség</t>
        </is>
      </c>
      <c r="F3" s="1" t="inlineStr">
        <is>
          <t>Bizonyítvány / Kimenet</t>
        </is>
      </c>
      <c r="G3" s="1" t="inlineStr">
        <is>
          <t>Szint</t>
        </is>
      </c>
      <c r="H3" s="1" t="inlineStr">
        <is>
          <t>Megjegyzés</t>
        </is>
      </c>
      <c r="I3" s="30" t="inlineStr">
        <is>
          <t>Képzőhely / Provider</t>
        </is>
      </c>
      <c r="J3" s="30" t="inlineStr">
        <is>
          <t>Képzési díj (nettó Ft)</t>
        </is>
      </c>
      <c r="K3" s="30" t="inlineStr">
        <is>
          <t>Vizsgadíj (nettó Ft)</t>
        </is>
      </c>
      <c r="L3" s="30" t="inlineStr">
        <is>
          <t>Össz. költség/fő (Ft)</t>
        </is>
      </c>
      <c r="M3" s="30" t="inlineStr">
        <is>
          <t>Javasolt félév</t>
        </is>
      </c>
    </row>
    <row r="4">
      <c r="A4" s="23" t="inlineStr">
        <is>
          <t>ALAPSZINT  |  Foundation  —  Belépő szint (0–1 év tapasztalat)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5" t="n"/>
    </row>
    <row r="5" ht="91" customHeight="1" s="20">
      <c r="A5" s="9" t="n">
        <v>1</v>
      </c>
      <c r="B5" s="9" t="inlineStr">
        <is>
          <t>Projektmenedzsment alapok</t>
        </is>
      </c>
      <c r="C5" s="9" t="inlineStr">
        <is>
          <t>Projektmenedzsment alaptudás: projekt jellemzői (egyediség, időhatár, erőforrás-korlát); PMBOK 7. kiadás – 12 elv és 8 teljesítési terület; PRINCE2 7 elv, 7 téma, 7 folyamat összehasonlítás; projekt életciklus fázisok (initiation, planning, execution, monitoring &amp; control, closing); projekt charter, project plan, kommunikációs terv, kockázati napló, RAID log; WBS (Work Breakdown Structure) készítése; CPM (Critical Path Method) alapok</t>
        </is>
      </c>
      <c r="D5" s="9" t="inlineStr">
        <is>
          <t>MS Project (Online), Jira, Confluence, Excel, Smartsheet</t>
        </is>
      </c>
      <c r="E5" s="9" t="inlineStr">
        <is>
          <t>Copilot Word: projekt charter tervezet generálás rövid brief alapján; Claude: WBS breakdown segítség – feladatok felbontása alsóbb szintekre; Miro AI: projekt munkaszakasz és milestone vizualizáció</t>
        </is>
      </c>
      <c r="F5" s="9" t="inlineStr">
        <is>
          <t>CAPM (Certified Associate in Project Management – PMI) – 150 kérdés, 3 óra VAGY PRINCE2 Foundation (AXELOS)</t>
        </is>
      </c>
      <c r="G5" s="9" t="inlineStr">
        <is>
          <t>Alapszint</t>
        </is>
      </c>
      <c r="H5" s="9" t="inlineStr">
        <is>
          <t>CAPM: középiskolai végzettség + 23 óra PM képzés. PRINCE2 Foundation 3 napos tréning + vizsga. Kb. 30–40 óra felkészülés.</t>
        </is>
      </c>
      <c r="I5" s="36" t="inlineStr">
        <is>
          <t>Masterfield / Training360</t>
        </is>
      </c>
      <c r="J5" s="37" t="n">
        <v>200000</v>
      </c>
      <c r="K5" s="37" t="n">
        <v>114000</v>
      </c>
      <c r="L5" s="38">
        <f>J5+K5</f>
        <v/>
      </c>
      <c r="M5" s="36" t="inlineStr">
        <is>
          <t>2025 H2</t>
        </is>
      </c>
    </row>
    <row r="6" ht="78" customHeight="1" s="20">
      <c r="A6" s="9" t="n">
        <v>2</v>
      </c>
      <c r="B6" s="9" t="inlineStr">
        <is>
          <t>PM eszközök és technikák</t>
        </is>
      </c>
      <c r="C6" s="9" t="inlineStr">
        <is>
          <t>Projektmenedzsment eszközök komplex alkalmazása: Gantt diagram (MS Project) – baseline, critical path, resource leveling; WBS szótár és feladatleírások; RACI mátrix; kockázati napló és RAID log struktúra; kommunikációs mátrix; meeting protokoll (agenda, döntések, action item-ek); státuszriport struktúra (executive és részletes); projekt lezárás: lessons learned, archivárás; change control log kezelése</t>
        </is>
      </c>
      <c r="D6" s="9" t="inlineStr">
        <is>
          <t>MS Project (Online), Jira, Smartsheet, Miro, Excel, Confluence</t>
        </is>
      </c>
      <c r="E6" s="9" t="inlineStr">
        <is>
          <t>Miro AI: RACI mátrix és projekt Gantt vizualizáció; Copilot Word: státuszriport sablonból automatikus kitöltés adatokkal; Claude: lessons learned összefoglalás és következő projektre vonatkozó ajánlások</t>
        </is>
      </c>
      <c r="F6" s="9" t="inlineStr">
        <is>
          <t>Belső PM toolbox tréning igazolás + 1 valódi projekt teljes dokumentáció-készlete elkészítve</t>
        </is>
      </c>
      <c r="G6" s="9" t="inlineStr">
        <is>
          <t>Alapszint</t>
        </is>
      </c>
      <c r="H6" s="9" t="inlineStr">
        <is>
          <t>Smartsheet MS Project alternatívaként vizsgálható. Miro szabad formátumú PM-hez kiváló. Kb. 16 óra.</t>
        </is>
      </c>
      <c r="I6" s="36" t="inlineStr">
        <is>
          <t>Training360 / Belső</t>
        </is>
      </c>
      <c r="J6" s="37" t="n">
        <v>120000</v>
      </c>
      <c r="K6" s="37" t="n">
        <v>0</v>
      </c>
      <c r="L6" s="38">
        <f>J6+K6</f>
        <v/>
      </c>
      <c r="M6" s="36" t="inlineStr">
        <is>
          <t>2025 H2</t>
        </is>
      </c>
    </row>
    <row r="7" ht="91" customHeight="1" s="20">
      <c r="A7" s="9" t="n">
        <v>3</v>
      </c>
      <c r="B7" s="9" t="inlineStr">
        <is>
          <t>Stakeholder kommunikáció</t>
        </is>
      </c>
      <c r="C7" s="9" t="inlineStr">
        <is>
          <t>Stakeholder menedzsment PM kontextusban: azonosítás (power/interest mátrix, onion diagram); elemzés: elvárások, érdekek, befolyás, kockázatok; kommunikációs terv: üzenet, csatorna, ütemterv, felelős; eskalációs útvonal és kezelés; meetingmenedzsment: agenda, döntési napló, fókusz; executive prezentáció IT projektekről; kríziskommunikáció; projekt szponzor bevonása és menedzsmentje</t>
        </is>
      </c>
      <c r="D7" s="9" t="inlineStr">
        <is>
          <t>PowerPoint, Teams, Confluence, Miro</t>
        </is>
      </c>
      <c r="E7" s="9" t="inlineStr">
        <is>
          <t>Copilot PowerPoint: prezentáció generálás projekt adatokból; Claude: kommunikációs terv és üzenetek stakeholder profilhoz igazítva; Miro AI: stakeholder power/interest mátrix vizualizáció; Teams Copilot: meeting összefoglalók és action item kiemelés</t>
        </is>
      </c>
      <c r="F7" s="9" t="inlineStr">
        <is>
          <t>Belső stakeholder communication PM tréning + PRINCE2 Practitioner kommunikációs modul</t>
        </is>
      </c>
      <c r="G7" s="9" t="inlineStr">
        <is>
          <t>Alapszint</t>
        </is>
      </c>
      <c r="H7" s="9" t="inlineStr">
        <is>
          <t>PMBOK 7 stakeholder menedzsment teljesítési terület kötelező olvasmány. Kb. 8 óra.</t>
        </is>
      </c>
      <c r="I7" s="36" t="inlineStr">
        <is>
          <t>ProMan / Training360</t>
        </is>
      </c>
      <c r="J7" s="37" t="n">
        <v>150000</v>
      </c>
      <c r="K7" s="37" t="n">
        <v>0</v>
      </c>
      <c r="L7" s="38">
        <f>J7+K7</f>
        <v/>
      </c>
      <c r="M7" s="36" t="inlineStr">
        <is>
          <t>2025 H2</t>
        </is>
      </c>
    </row>
    <row r="8" ht="91" customHeight="1" s="20">
      <c r="A8" s="9" t="n">
        <v>4</v>
      </c>
      <c r="B8" s="9" t="inlineStr">
        <is>
          <t>Agilis PM alapok</t>
        </is>
      </c>
      <c r="C8" s="9" t="inlineStr">
        <is>
          <t>Hibrid és agilis projektmenedzsment: Agile vs. Waterfall összehasonlítás – mikor melyiket; hibrid PM modellek (waterfall fázisok Scrum sprintekkel); AgilePM (DSDM alapú) – 8 elv, 5 fázis, szerepek; PRINCE2 Agile – governance + agile szállítás; agile projekt charter; Jira projekt szintű konfiguráció; agile riportok: velocity, burndown, release plan; IT projektek értékszállítása agilis megközelítéssel; agile project health check</t>
        </is>
      </c>
      <c r="D8" s="9" t="inlineStr">
        <is>
          <t>Jira, Azure DevOps, Miro, Confluence, MS Project (Online)</t>
        </is>
      </c>
      <c r="E8" s="9" t="inlineStr">
        <is>
          <t>Miro AI: hibrid projekt tábla – waterfall fázisok és Scrum sprintek vizuálisan; Jira Intelligence: automatikus sprint összefoglalók és előrejelzés; Claude: agile projekt charter és sprint 0 plan tervezet</t>
        </is>
      </c>
      <c r="F8" s="9" t="inlineStr">
        <is>
          <t>AgilePM Foundation (APMG) VAGY PRINCE2 Agile Foundation (AXELOS)</t>
        </is>
      </c>
      <c r="G8" s="9" t="inlineStr">
        <is>
          <t>Alapszint</t>
        </is>
      </c>
      <c r="H8" s="9" t="inlineStr">
        <is>
          <t>AgilePM Foundation 1 napos tréning + vizsga. PRINCE2 Agile kombinált módszertan – ideális PM szakértőknek. Kb. 16–24 óra.</t>
        </is>
      </c>
      <c r="I8" s="36" t="inlineStr">
        <is>
          <t>Masterfield / SZÁMALK</t>
        </is>
      </c>
      <c r="J8" s="37" t="n">
        <v>150000</v>
      </c>
      <c r="K8" s="37" t="n">
        <v>114000</v>
      </c>
      <c r="L8" s="38">
        <f>J8+K8</f>
        <v/>
      </c>
      <c r="M8" s="36" t="inlineStr">
        <is>
          <t>2025 H2</t>
        </is>
      </c>
    </row>
    <row r="9">
      <c r="A9" s="22" t="inlineStr">
        <is>
          <t>KÖZÉPSZINT  |  Practitioner  —  Fejlesztő szint (1–3 év tapasztalat)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5" t="n"/>
    </row>
    <row r="10" ht="78" customHeight="1" s="20">
      <c r="A10" s="10" t="n">
        <v>5</v>
      </c>
      <c r="B10" s="10" t="inlineStr">
        <is>
          <t>PMP / PRINCE2 Practitioner</t>
        </is>
      </c>
      <c r="C10" s="10" t="inlineStr">
        <is>
          <t>Komplex projekt irányítás PMP/PRINCE2 Practitioner szinten: scope change management – change request folyamat, scope creep kezelés; Earned Value Management (EVM): PV, EV, AC, CV, SV, CPI, SPI; Estimate at Completion (EAC) formulák; minőségterv és QC technikák; procurement és szállítói menedzsment projektben; projekt formális lezárás; multi-projekt koordináció; PMO szerepe projekt szintjén</t>
        </is>
      </c>
      <c r="D10" s="10" t="inlineStr">
        <is>
          <t>MS Project (Online), Excel (EVM sablonok), Confluence, ServiceNow (ITSM)</t>
        </is>
      </c>
      <c r="E10" s="10" t="inlineStr">
        <is>
          <t>Power BI Copilot: EVM dashboard – CPI/SPI trend és előrejelzés; Claude: project status report elemzése és kockázatok azonosítása; Excel Copilot: EVM számítások automatizálása és variance analysis; AI-alapú projekt egészség monitoring</t>
        </is>
      </c>
      <c r="F10" s="10" t="inlineStr">
        <is>
          <t>PMP (Project Management Professional – PMI) – 180 kérdés, 4 óra VAGY PRINCE2 Practitioner (AXELOS) – 68 kérdés, open book, 2,5 óra</t>
        </is>
      </c>
      <c r="G10" s="10" t="inlineStr">
        <is>
          <t>Középszint</t>
        </is>
      </c>
      <c r="H10" s="10" t="inlineStr">
        <is>
          <t>PMP: 36 hónap PM tapasztalat + 35 óra PM oktatás szükséges. PMI-ACP párhuzamosan ajánlott agilis PM-eknek. Kb. 80–100 óra felkészülés PMP-re.</t>
        </is>
      </c>
      <c r="I10" s="39" t="inlineStr">
        <is>
          <t>Masterfield / Training360</t>
        </is>
      </c>
      <c r="J10" s="40" t="n">
        <v>350000</v>
      </c>
      <c r="K10" s="40" t="n">
        <v>210900</v>
      </c>
      <c r="L10" s="41">
        <f>J10+K10</f>
        <v/>
      </c>
      <c r="M10" s="39" t="inlineStr">
        <is>
          <t>2026 H1</t>
        </is>
      </c>
    </row>
    <row r="11" ht="78" customHeight="1" s="20">
      <c r="A11" s="10" t="n">
        <v>6</v>
      </c>
      <c r="B11" s="10" t="inlineStr">
        <is>
          <t>IT projekt kockázatmenedzsment</t>
        </is>
      </c>
      <c r="C11" s="10" t="inlineStr">
        <is>
          <t>IT projekt kockázatmenedzsment: azonosítási technikák (brainstorming, Delphi, checklist, SWOT); kvalitatív elemzés: valószínűség/hatás mátrix; kvantitatív: EMV, döntési fa, szenzitivitás-elemzés (Tornado diagram), Monte Carlo szimuláció; kockázatkezelési stratégiák és felelős; kockázat trigger-ek és early warning sign-ok; kontingencia tartalék számítása; residual és secondary kockázatok</t>
        </is>
      </c>
      <c r="D11" s="10" t="inlineStr">
        <is>
          <t>Excel, @Risk (Monte Carlo, 15 napos trial), Primavera Risk Analysis, ServiceNow Risk modul</t>
        </is>
      </c>
      <c r="E11" s="10" t="inlineStr">
        <is>
          <t>Claude: kockázati forgatókönyv leírás alapján hatás-valószínűség becslés; AI kockázati mátrix priorizálás; Monte Carlo eredmény értelmezési segítség; Copilot Excel: kockázati napló automatikus frissítés</t>
        </is>
      </c>
      <c r="F11" s="10" t="inlineStr">
        <is>
          <t>PMI-RMP (Risk Management Professional) alapismeretek VAGY PRINCE2 Risk Practice + belső kockázatmenedzsment workshop</t>
        </is>
      </c>
      <c r="G11" s="10" t="inlineStr">
        <is>
          <t>Középszint</t>
        </is>
      </c>
      <c r="H11" s="10" t="inlineStr">
        <is>
          <t>@Risk 15 napos trial elérhető. PMI-RMP 170 kérdéses vizsga tapasztalt kockázatmenedzsereknek. Kb. 20 óra.</t>
        </is>
      </c>
      <c r="I11" s="39" t="inlineStr">
        <is>
          <t>Training360 / ISACA</t>
        </is>
      </c>
      <c r="J11" s="40" t="n">
        <v>180000</v>
      </c>
      <c r="K11" s="40" t="n">
        <v>0</v>
      </c>
      <c r="L11" s="41">
        <f>J11+K11</f>
        <v/>
      </c>
      <c r="M11" s="39" t="inlineStr">
        <is>
          <t>2026 H1</t>
        </is>
      </c>
    </row>
    <row r="12" ht="78" customHeight="1" s="20">
      <c r="A12" s="10" t="n">
        <v>7</v>
      </c>
      <c r="B12" s="10" t="inlineStr">
        <is>
          <t>Projekt pénzügyi kontroll</t>
        </is>
      </c>
      <c r="C12" s="10" t="inlineStr">
        <is>
          <t>IT projekt pénzügyi irányítás: budget struktúra (CAPEX vs. OPEX, direkt/indirekt); cost baseline és karbantartás; EVM elemzés (CPI, SPI, VAC, EAC, TCPI); projekt P&amp;L és forecast vs. actuals riportok; IT beruházás megtérülés: ROI, NPV, IRR, Payback Period; benefit realization tracking; cost transparency és showback/chargeback modellek; TCO számítása; pénzügyi kockázatok és kontingencia</t>
        </is>
      </c>
      <c r="D12" s="10" t="inlineStr">
        <is>
          <t>Excel (EVM sablonok), SAP (pénzügyi riportok), Power BI, MS Project (cost tracking)</t>
        </is>
      </c>
      <c r="E12" s="10" t="inlineStr">
        <is>
          <t>Power BI Copilot: cost dashboard természetes lekérdezéssel; Copilot Excel: CPI/SPI számítás automatizálása és variance analysis; Claude: ROI számítás segítség és pénzügyi összefoglaló generálása befektetői bemutatóhoz</t>
        </is>
      </c>
      <c r="F12" s="10" t="inlineStr">
        <is>
          <t>Belső pénzügyi PM tréning elvégzési igazolás + elkészített EVM dashboard bemutatása</t>
        </is>
      </c>
      <c r="G12" s="10" t="inlineStr">
        <is>
          <t>Középszint</t>
        </is>
      </c>
      <c r="H12" s="10" t="inlineStr">
        <is>
          <t>CAPEX/OPEX és NPV ismeretek nagyvállalati PM-eknél alapkövetelmény. SAP FI modul ismerete előny. Kb. 16 óra.</t>
        </is>
      </c>
      <c r="I12" s="39" t="inlineStr">
        <is>
          <t>Training360 / Belső</t>
        </is>
      </c>
      <c r="J12" s="40" t="n">
        <v>150000</v>
      </c>
      <c r="K12" s="40" t="n">
        <v>0</v>
      </c>
      <c r="L12" s="41">
        <f>J12+K12</f>
        <v/>
      </c>
      <c r="M12" s="39" t="inlineStr">
        <is>
          <t>2026 H1</t>
        </is>
      </c>
    </row>
    <row r="13" ht="91" customHeight="1" s="20">
      <c r="A13" s="10" t="n">
        <v>8</v>
      </c>
      <c r="B13" s="10" t="inlineStr">
        <is>
          <t>Változásmenedzsment projektekben</t>
        </is>
      </c>
      <c r="C13" s="10" t="inlineStr">
        <is>
          <t>Változásmenedzsment integráció IT projektekbe: change impact analízis mérföldkövekhez igazítva; ADKAR gap assessment érintett csoportonként; kommunikációs stratégia és csatorna-mix; training terv: felhasználói igényfelmérés, módszer, ütemterv; go-live support: hypercare, issue tracking, gyors beavatkozás; change adoption mérése (rendszerhasználat, hibajegyek, elégedettség); szponzori elkötelezettség erősítése</t>
        </is>
      </c>
      <c r="D13" s="10" t="inlineStr">
        <is>
          <t>Miro, Confluence, Teams, Prosci ADKAR toolkit</t>
        </is>
      </c>
      <c r="E13" s="10" t="inlineStr">
        <is>
          <t>Claude: change impact assessment tervezet és üzenetek munkakörönkénti adaptálása; Miro AI: stakeholder elemzés és ADKAR vizualizáció; Copilot Word: training anyagok és FAQ generálása; AI-alapú adoption mérési dashboard tervezet</t>
        </is>
      </c>
      <c r="F13" s="10" t="inlineStr">
        <is>
          <t>Prosci Change Management Practitioner (3 napos + ADKAR project) VAGY APMG Change Management Practitioner</t>
        </is>
      </c>
      <c r="G13" s="10" t="inlineStr">
        <is>
          <t>Középszint</t>
        </is>
      </c>
      <c r="H13" s="10" t="inlineStr">
        <is>
          <t>Prosci ADKAR könyv kötelező olvasmány. OCM és PM integrálása biztosítja a projekt tényleges sikerét. Kb. 24–40 óra.</t>
        </is>
      </c>
      <c r="I13" s="39" t="inlineStr">
        <is>
          <t>Prosci / ProMan</t>
        </is>
      </c>
      <c r="J13" s="40" t="n">
        <v>450000</v>
      </c>
      <c r="K13" s="40" t="n">
        <v>0</v>
      </c>
      <c r="L13" s="41">
        <f>J13+K13</f>
        <v/>
      </c>
      <c r="M13" s="39" t="inlineStr">
        <is>
          <t>2026 H1</t>
        </is>
      </c>
    </row>
    <row r="14">
      <c r="A14" s="25" t="inlineStr">
        <is>
          <t>HALADÓ SZINT  |  Expert / Lead  —  Mester szint (3+ év tapasztalat)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5" t="n"/>
    </row>
    <row r="15" ht="104" customHeight="1" s="20">
      <c r="A15" s="11" t="n">
        <v>9</v>
      </c>
      <c r="B15" s="11" t="inlineStr">
        <is>
          <t>Program és Portfolio Management</t>
        </is>
      </c>
      <c r="C15" s="11" t="inlineStr">
        <is>
          <t>Program és portfolio menedzsment mester szinten: program vs. projekt különbség (benefit management, szinergiák); program governance struktúra; függőségtérkép karbantartása; resource leveling több projekt között; OKR-ek és projektek stratégiai illesztése; Portfolio Kanban; business case aggregálás portfólió szinten; MSP (Managing Successful Programmes) 7 elve és 9 témája; Lean Portfolio Management SAFe kontextusban; befektetési kategóriák és megtérülési elvárások</t>
        </is>
      </c>
      <c r="D15" s="11" t="inlineStr">
        <is>
          <t>MS Project Server/Online, Jira Align, Planview, Power BI, Confluence</t>
        </is>
      </c>
      <c r="E15" s="11" t="inlineStr">
        <is>
          <t>AI portfólió dashboard: projekt egészség és kockázat összesítés; Claude: dependency map generálás projekt lista alapján és ütközések azonosítása; Power BI Copilot: portfólió executive summary; Copilot: program havi státuszriport tervezet</t>
        </is>
      </c>
      <c r="F15" s="11" t="inlineStr">
        <is>
          <t>MSP Foundation &amp; Practitioner (AXELOS) VAGY PgMP (Program Management Professional – PMI)</t>
        </is>
      </c>
      <c r="G15" s="11" t="inlineStr">
        <is>
          <t>Haladó szint</t>
        </is>
      </c>
      <c r="H15" s="11" t="inlineStr">
        <is>
          <t>MSP Foundation önállóan tanulható, 3 napos tréning + vizsga. PgMP magas tapasztalati követelmény. Kb. 40+ óra.</t>
        </is>
      </c>
      <c r="I15" s="42" t="inlineStr">
        <is>
          <t>Masterfield / ILX Group</t>
        </is>
      </c>
      <c r="J15" s="43" t="n">
        <v>350000</v>
      </c>
      <c r="K15" s="43" t="n">
        <v>163400</v>
      </c>
      <c r="L15" s="44">
        <f>J15+K15</f>
        <v/>
      </c>
      <c r="M15" s="42" t="inlineStr">
        <is>
          <t>2026 H2</t>
        </is>
      </c>
    </row>
    <row r="16" ht="91" customHeight="1" s="20">
      <c r="A16" s="11" t="n">
        <v>10</v>
      </c>
      <c r="B16" s="11" t="inlineStr">
        <is>
          <t>PMO leadership és governance</t>
        </is>
      </c>
      <c r="C16" s="11" t="inlineStr">
        <is>
          <t>PMO felépítése, fejlesztése és működtetése: PMO típusok (supportive, controlling, directive); PMO értékteremtési modell; PM módszertan standardizálás és toolkit; projekt érettség értékelés (OPM3, P3M3); KPI-ok és riportálás CIO felé; projekt- és portfólió review fórumok; lessons learned management és tudásbázis; resource management centralizáltan; PMO technológiai stack (PPM tool, BI dashboard, dokumentumkezelés); PMO fejlesztési roadmap</t>
        </is>
      </c>
      <c r="D16" s="11" t="inlineStr">
        <is>
          <t>Confluence, Power BI, SharePoint, ServiceNow (ITBM), Planview</t>
        </is>
      </c>
      <c r="E16" s="11" t="inlineStr">
        <is>
          <t>Power BI Copilot: PMO portfólió dashboard; AI-alapú projekt egészség monitoring (schedule, cost, risk, stakeholder egészség); Claude: PMO methodology dokumentumok tervezet generálás; Copilot: PMO havi összefoglaló igazgatóság számára</t>
        </is>
      </c>
      <c r="F16" s="11" t="inlineStr">
        <is>
          <t>P3O Foundation &amp; Practitioner (AXELOS) – Portfolio, Programme and Project Offices VAGY PMI Portfolio Management Professional</t>
        </is>
      </c>
      <c r="G16" s="11" t="inlineStr">
        <is>
          <t>Haladó szint</t>
        </is>
      </c>
      <c r="H16" s="11" t="inlineStr">
        <is>
          <t>P3O Foundation önállóan tanulható, 2 napos tréning + vizsga. AXELOS official materials ajánlott. Kb. 30+ óra.</t>
        </is>
      </c>
      <c r="I16" s="42" t="inlineStr">
        <is>
          <t>Masterfield / ILX Group</t>
        </is>
      </c>
      <c r="J16" s="43" t="n">
        <v>250000</v>
      </c>
      <c r="K16" s="43" t="n">
        <v>163400</v>
      </c>
      <c r="L16" s="44">
        <f>J16+K16</f>
        <v/>
      </c>
      <c r="M16" s="42" t="inlineStr">
        <is>
          <t>2026 H2</t>
        </is>
      </c>
    </row>
    <row r="17" ht="78" customHeight="1" s="20">
      <c r="A17" s="11" t="n">
        <v>11</v>
      </c>
      <c r="B17" s="11" t="inlineStr">
        <is>
          <t>Stratégiai IT projektvezetés</t>
        </is>
      </c>
      <c r="C17" s="11" t="inlineStr">
        <is>
          <t>Stratégiai IT projektvezetés és executive leadership: IT stratégia és projektek illesztése; OKR-ek IT projektekbe fordítása (outcome-based delivery); digital transformation projektek kihívásai; C-level kommunikáció és board prezentációk; projekt szponzor nevelése és bevonása; IT beruházási döntések influálása; IT brand és portfolió marketing belső szereplők felé; PMO-tól CIO-ig vezető fejlődési út</t>
        </is>
      </c>
      <c r="D17" s="11" t="inlineStr">
        <is>
          <t>Miro, Confluence, PowerPoint, Power BI, Gartner/Forrester kutatások</t>
        </is>
      </c>
      <c r="E17" s="11" t="inlineStr">
        <is>
          <t>Claude + Miro MCP: stratégiai roadmap és IT portfolió vizualizáció automatikus frissítése; Power BI Copilot: executive dashboard természetes kérdésekre válaszol; Copilot: board-szintű prezentáció generálás projekt adatokból</t>
        </is>
      </c>
      <c r="F17" s="11" t="inlineStr">
        <is>
          <t>Belső executive leadership program + opcionálisan: MSP Advanced Practitioner vagy MBA IT Management modul</t>
        </is>
      </c>
      <c r="G17" s="11" t="inlineStr">
        <is>
          <t>Haladó szint</t>
        </is>
      </c>
      <c r="H17" s="11" t="inlineStr">
        <is>
          <t>CIO és VP szintű mentorok bevonása erősen ajánlott. Gartner és Forrester IT strategy kutatások rendszeres olvasása. Kb. 40+ óra + coaching.</t>
        </is>
      </c>
      <c r="I17" s="42" t="inlineStr">
        <is>
          <t>Belső / Masterfield</t>
        </is>
      </c>
      <c r="J17" s="43" t="n">
        <v>200000</v>
      </c>
      <c r="K17" s="43" t="n">
        <v>0</v>
      </c>
      <c r="L17" s="44">
        <f>J17+K17</f>
        <v/>
      </c>
      <c r="M17" s="42" t="inlineStr">
        <is>
          <t>2026 H2</t>
        </is>
      </c>
    </row>
    <row r="18">
      <c r="A18" s="48" t="n"/>
      <c r="B18" s="49" t="inlineStr">
        <is>
          <t>Alapszint összesen</t>
        </is>
      </c>
      <c r="C18" s="48" t="n"/>
      <c r="D18" s="48" t="n"/>
      <c r="E18" s="48" t="n"/>
      <c r="F18" s="48" t="n"/>
      <c r="G18" s="48" t="n"/>
      <c r="H18" s="48" t="n"/>
      <c r="I18" s="48" t="n"/>
      <c r="J18" s="50">
        <f>SUM(J5:J8)</f>
        <v/>
      </c>
      <c r="K18" s="50">
        <f>SUM(K5:K8)</f>
        <v/>
      </c>
      <c r="L18" s="50">
        <f>SUM(L5:L8)</f>
        <v/>
      </c>
      <c r="M18" s="48" t="n"/>
    </row>
    <row r="19">
      <c r="A19" s="51" t="n"/>
      <c r="B19" s="52" t="inlineStr">
        <is>
          <t>Középszint összesen</t>
        </is>
      </c>
      <c r="C19" s="51" t="n"/>
      <c r="D19" s="51" t="n"/>
      <c r="E19" s="51" t="n"/>
      <c r="F19" s="51" t="n"/>
      <c r="G19" s="51" t="n"/>
      <c r="H19" s="51" t="n"/>
      <c r="I19" s="51" t="n"/>
      <c r="J19" s="53">
        <f>SUM(J10:J13)</f>
        <v/>
      </c>
      <c r="K19" s="53">
        <f>SUM(K10:K13)</f>
        <v/>
      </c>
      <c r="L19" s="53">
        <f>SUM(L10:L13)</f>
        <v/>
      </c>
      <c r="M19" s="51" t="n"/>
    </row>
    <row r="20">
      <c r="A20" s="54" t="n"/>
      <c r="B20" s="55" t="inlineStr">
        <is>
          <t>Haladó szint összesen</t>
        </is>
      </c>
      <c r="C20" s="54" t="n"/>
      <c r="D20" s="54" t="n"/>
      <c r="E20" s="54" t="n"/>
      <c r="F20" s="54" t="n"/>
      <c r="G20" s="54" t="n"/>
      <c r="H20" s="54" t="n"/>
      <c r="I20" s="54" t="n"/>
      <c r="J20" s="56">
        <f>SUM(J15:J17)</f>
        <v/>
      </c>
      <c r="K20" s="56">
        <f>SUM(K15:K17)</f>
        <v/>
      </c>
      <c r="L20" s="56">
        <f>SUM(L15:L17)</f>
        <v/>
      </c>
      <c r="M20" s="54" t="n"/>
    </row>
    <row r="21">
      <c r="A21" s="57" t="n"/>
      <c r="B21" s="58" t="inlineStr">
        <is>
          <t>TELJES ÚTVONAL ÖSSZESEN</t>
        </is>
      </c>
      <c r="C21" s="57" t="n"/>
      <c r="D21" s="57" t="n"/>
      <c r="E21" s="57" t="n"/>
      <c r="F21" s="57" t="n"/>
      <c r="G21" s="57" t="n"/>
      <c r="H21" s="57" t="n"/>
      <c r="I21" s="57" t="n"/>
      <c r="J21" s="59">
        <f>J18+J19+J20</f>
        <v/>
      </c>
      <c r="K21" s="59">
        <f>K18+K19+K20</f>
        <v/>
      </c>
      <c r="L21" s="59">
        <f>L18+L19+L20</f>
        <v/>
      </c>
      <c r="M21" s="57" t="n"/>
    </row>
  </sheetData>
  <autoFilter ref="A3:H3"/>
  <mergeCells count="5">
    <mergeCell ref="A14:M14"/>
    <mergeCell ref="A1:M1"/>
    <mergeCell ref="A9:M9"/>
    <mergeCell ref="A4:M4"/>
    <mergeCell ref="A2:M2"/>
  </mergeCells>
  <pageMargins left="0.75" right="0.75" top="1" bottom="1" header="0.5" footer="0.5"/>
  <headerFooter>
    <oddHeader>&amp;C&amp;"Calibri"&amp;1 &amp;K000000 Internal#_x000d_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2E75B6"/>
    <outlinePr summaryBelow="1" summaryRight="1"/>
    <pageSetUpPr/>
  </sheetPr>
  <dimension ref="A1:M21"/>
  <sheetViews>
    <sheetView tabSelected="1" workbookViewId="0">
      <pane ySplit="3" topLeftCell="A10" activePane="bottomLeft" state="frozen"/>
      <selection pane="bottomLeft" activeCell="E16" sqref="E16"/>
    </sheetView>
  </sheetViews>
  <sheetFormatPr baseColWidth="8" defaultRowHeight="14.5"/>
  <cols>
    <col width="5" customWidth="1" style="20" min="1" max="1"/>
    <col width="28" customWidth="1" style="20" min="2" max="2"/>
    <col width="55" customWidth="1" style="20" min="3" max="3"/>
    <col width="30" customWidth="1" style="20" min="4" max="4"/>
    <col width="45" customWidth="1" style="20" min="5" max="5"/>
    <col width="35" customWidth="1" style="20" min="6" max="6"/>
    <col width="14" customWidth="1" style="20" min="7" max="7"/>
    <col width="30" customWidth="1" style="20" min="8" max="8"/>
    <col width="30" customWidth="1" style="20" min="9" max="9"/>
    <col width="20" customWidth="1" style="20" min="10" max="10"/>
    <col width="20" customWidth="1" style="20" min="11" max="11"/>
    <col width="22" customWidth="1" style="20" min="12" max="12"/>
    <col width="16" customWidth="1" style="20" min="13" max="13"/>
  </cols>
  <sheetData>
    <row r="1">
      <c r="A1" s="27" t="inlineStr">
        <is>
          <t>Solution Architect  —  IT Megoldástervező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8" t="n"/>
    </row>
    <row r="2">
      <c r="A2" s="13" t="inlineStr">
        <is>
          <t>A technológiai jövő tervezője. Biztosítja, hogy az IT megoldások üzleti igényekre válaszoljanak, skálázhatók, biztonságosak és fenntarthatók legyenek.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5" t="n"/>
    </row>
    <row r="3">
      <c r="A3" s="1" t="inlineStr">
        <is>
          <t>#</t>
        </is>
      </c>
      <c r="B3" s="1" t="inlineStr">
        <is>
          <t>Képzési terület</t>
        </is>
      </c>
      <c r="C3" s="1" t="inlineStr">
        <is>
          <t>Képzési tartalom</t>
        </is>
      </c>
      <c r="D3" s="1" t="inlineStr">
        <is>
          <t>Eszköz / Platform</t>
        </is>
      </c>
      <c r="E3" s="1" t="inlineStr">
        <is>
          <t>AI lehetőség</t>
        </is>
      </c>
      <c r="F3" s="1" t="inlineStr">
        <is>
          <t>Bizonyítvány / Kimenet</t>
        </is>
      </c>
      <c r="G3" s="1" t="inlineStr">
        <is>
          <t>Szint</t>
        </is>
      </c>
      <c r="H3" s="1" t="inlineStr">
        <is>
          <t>Megjegyzés</t>
        </is>
      </c>
      <c r="I3" s="30" t="inlineStr">
        <is>
          <t>Képzőhely / Provider</t>
        </is>
      </c>
      <c r="J3" s="30" t="inlineStr">
        <is>
          <t>Képzési díj (nettó Ft)</t>
        </is>
      </c>
      <c r="K3" s="30" t="inlineStr">
        <is>
          <t>Vizsgadíj (nettó Ft)</t>
        </is>
      </c>
      <c r="L3" s="30" t="inlineStr">
        <is>
          <t>Össz. költség/fő (Ft)</t>
        </is>
      </c>
      <c r="M3" s="30" t="inlineStr">
        <is>
          <t>Javasolt félév</t>
        </is>
      </c>
    </row>
    <row r="4">
      <c r="A4" s="23" t="inlineStr">
        <is>
          <t>ALAPSZINT  |  Foundation  —  Belépő szint (0–1 év tapasztalat)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5" t="n"/>
    </row>
    <row r="5" ht="91" customHeight="1" s="20">
      <c r="A5" s="9" t="n">
        <v>1</v>
      </c>
      <c r="B5" s="9" t="inlineStr">
        <is>
          <t>Enterprise Architecture alapok</t>
        </is>
      </c>
      <c r="C5" s="9" t="inlineStr">
        <is>
          <t>Enterprise Architecture fundamentumok: EA definíció és célja; Zachman Framework röviden; TOGAF bevezetés: ADM fázisok (Preliminary, A-H), Architecture Repository; EA négy rétege (üzleti, információ/adat, alkalmazás, technológia); Archimate 3 notation bevezető: core metamodel, rétegek, kapcsolatok; EA artefaktumok: capability map, alkalmazásportfólió, technológiai térkép; Architecture Review Board és ADR (Architecture Decision Record) bevezetés</t>
        </is>
      </c>
      <c r="D5" s="9" t="inlineStr">
        <is>
          <t>TOGAF tankönyv (The Open Group), Draw.io (TOGAF sablonokkal), Archi (ingyenes Archimate eszköz)</t>
        </is>
      </c>
      <c r="E5" s="9" t="inlineStr">
        <is>
          <t>Draw.io MCP: Claude-dal generált EA réteg diagramok szöveges leírásból; Archimate AI elemek generálása; Claude: ADR sablon kitöltés és döntési javaslat rendszer leírásból</t>
        </is>
      </c>
      <c r="F5" s="9" t="inlineStr">
        <is>
          <t>TOGAF Foundation Level 1 (The Open Group) – 40 kérdés, 55% átmenő</t>
        </is>
      </c>
      <c r="G5" s="9" t="inlineStr">
        <is>
          <t>Alapszint</t>
        </is>
      </c>
      <c r="H5" s="9" t="inlineStr">
        <is>
          <t>TOGAF Level 1 önállóan tanulható, The Open Group study guide ingyenes. Kb. 24–32 óra felkészülés + vizsga.</t>
        </is>
      </c>
      <c r="I5" s="36" t="inlineStr">
        <is>
          <t>Bdat.ACADEMY</t>
        </is>
      </c>
      <c r="J5" s="37" t="n">
        <v>350000</v>
      </c>
      <c r="K5" s="37" t="n">
        <v>209000</v>
      </c>
      <c r="L5" s="38">
        <f>J5+K5</f>
        <v/>
      </c>
      <c r="M5" s="36" t="inlineStr">
        <is>
          <t>2025 H2</t>
        </is>
      </c>
    </row>
    <row r="6" ht="104" customHeight="1" s="20">
      <c r="A6" s="9" t="n">
        <v>2</v>
      </c>
      <c r="B6" s="9" t="inlineStr">
        <is>
          <t>Cloud alapismeretek</t>
        </is>
      </c>
      <c r="C6" s="9" t="inlineStr">
        <is>
          <t>Cloud computing fundamentumok és vállalati stratégia: NIST cloud definíció és 5 esszenciális jellemző; IaaS/PaaS/SaaS/FaaS rétegek alkalmazáspéldákkal; AWS, Azure, GCP főbb szolgáltatás-kategóriák összehasonlítása; Shared Responsibility Model; cloud deployment modellek (public, private, hybrid, multi-cloud); Cloud Adoption Framework; 6R migrációs stratégiák (rehost, replatform, repurchase, refactor, retire, retain); FinOps bevezető; cloud security alapok (IAM, encryption, network security groups)</t>
        </is>
      </c>
      <c r="D6" s="9" t="inlineStr">
        <is>
          <t>AWS Free Tier, Azure Free Account, GCP Free Tier, Draw.io, AWS Skill Builder, MS Learn</t>
        </is>
      </c>
      <c r="E6" s="9" t="inlineStr">
        <is>
          <t>Claude: cloud architektúra javaslat igényleírás alapján ("Azure-on 3-tier webalkalmazás – mit ajánlasz?"); Draw.io MCP: cloud szolgáltatás diagram automatikus rajzolása; Claude: AWS vs. Azure összehasonlítás adott use case-re konkrét érvekkel</t>
        </is>
      </c>
      <c r="F6" s="9" t="inlineStr">
        <is>
          <t>AWS Cloud Practitioner (CLF-C02) VAGY Microsoft Azure Fundamentals (AZ-900) – mindkettőhöz ingyenes e-learning</t>
        </is>
      </c>
      <c r="G6" s="9" t="inlineStr">
        <is>
          <t>Alapszint</t>
        </is>
      </c>
      <c r="H6" s="9" t="inlineStr">
        <is>
          <t>AWS CCP és AZ-900 ingyenesen teljesíthetők (AWS Skill Builder, MS Learn). FinOps Foundation cert párhuzamosan ajánlott. Kb. 20–24 óra.</t>
        </is>
      </c>
      <c r="I6" s="36" t="inlineStr">
        <is>
          <t>Masterfield / MS Learn</t>
        </is>
      </c>
      <c r="J6" s="37" t="n">
        <v>89000</v>
      </c>
      <c r="K6" s="37" t="n">
        <v>37620</v>
      </c>
      <c r="L6" s="38">
        <f>J6+K6</f>
        <v/>
      </c>
      <c r="M6" s="36" t="inlineStr">
        <is>
          <t>2025 H2</t>
        </is>
      </c>
    </row>
    <row r="7" ht="104" customHeight="1" s="20">
      <c r="A7" s="9" t="n">
        <v>3</v>
      </c>
      <c r="B7" s="9" t="inlineStr">
        <is>
          <t>Tervezési minták (Design Patterns)</t>
        </is>
      </c>
      <c r="C7" s="9" t="inlineStr">
        <is>
          <t>Tervezési minták és architektúra alapelvek: GoF 23 minta 3 kategóriában – Creational (Singleton, Factory Method, Abstract Factory, Builder, Prototype), Structural (Adapter, Bridge, Composite, Decorator, Facade, Proxy), Behavioral (Observer, Strategy, Command, Template Method); SOLID elvek részletesen; DRY, KISS, YAGNI; architektúra anti-minták (God Object, Spaghetti Code, Golden Hammer); DDD bevezető: Ubiquitous Language, Bounded Context, Aggregate</t>
        </is>
      </c>
      <c r="D7" s="9" t="inlineStr">
        <is>
          <t>Draw.io (UML diagramok), VS Code, Confluence, RefactoringGuru.io</t>
        </is>
      </c>
      <c r="E7" s="9" t="inlineStr">
        <is>
          <t>Claude Code: design pattern implementáció generálása és meglévő kód refaktorálása mintát követve; osztálydiagram generálás; GitHub Copilot: pattern-konform kód kiegészítés; Claude: anti-pattern azonosítás kód elemzésben</t>
        </is>
      </c>
      <c r="F7" s="9" t="inlineStr">
        <is>
          <t>Belső design pattern workshop igazolás + POC implementáció legalább 3 különböző mintával</t>
        </is>
      </c>
      <c r="G7" s="9" t="inlineStr">
        <is>
          <t>Alapszint</t>
        </is>
      </c>
      <c r="H7" s="9" t="inlineStr">
        <is>
          <t>RefactoringGuru.io ingyenes és kiváló resource. "Head First Design Patterns" ajánlott. Kb. 24 óra.</t>
        </is>
      </c>
      <c r="I7" s="36" t="inlineStr">
        <is>
          <t>HWSW / Training360</t>
        </is>
      </c>
      <c r="J7" s="37" t="n">
        <v>129000</v>
      </c>
      <c r="K7" s="37" t="n">
        <v>0</v>
      </c>
      <c r="L7" s="38">
        <f>J7+K7</f>
        <v/>
      </c>
      <c r="M7" s="36" t="inlineStr">
        <is>
          <t>2025 H2</t>
        </is>
      </c>
    </row>
    <row r="8" ht="104" customHeight="1" s="20">
      <c r="A8" s="9" t="n">
        <v>4</v>
      </c>
      <c r="B8" s="9" t="inlineStr">
        <is>
          <t>Integráció és API alapok</t>
        </is>
      </c>
      <c r="C8" s="9" t="inlineStr">
        <is>
          <t>Integrációs architektúra és API tervezés: REST API elvek (Richardson Maturity Model, HATEOAS); REST vs. GraphQL vs. gRPC összehasonlítás; OpenAPI/Swagger specifikáció; API gateway: rate limiting, auth, caching, transformation; ESB és SOA alapok; Event-Driven Architecture (EDA): event sourcing, CQRS, Kafka bevezető; Integration Patterns (Hohpe): Message Channel, Pub-Sub, Dead Letter Queue; iPaaS (MuleSoft, Azure Integration Services); API Security: OAuth 2.0, JWT</t>
        </is>
      </c>
      <c r="D8" s="9" t="inlineStr">
        <is>
          <t>Postman, Swagger Editor / OpenAPI, Draw.io, MuleSoft Anypoint Studio, Azure Integration Services</t>
        </is>
      </c>
      <c r="E8" s="9" t="inlineStr">
        <is>
          <t>Claude: OpenAPI spec generálás természetes leírásból; Draw.io MCP: integráció architektúra diagram automatikus rajzolása; Claude Code: API endpoint stub generálás specifikáció alapján; MuleSoft Trailhead AI segítség</t>
        </is>
      </c>
      <c r="F8" s="9" t="inlineStr">
        <is>
          <t>Belső integráció alapozó tréning + elkészített OpenAPI specifikáció valódi API-hoz; opcionálisan: MuleSoft Developer I</t>
        </is>
      </c>
      <c r="G8" s="9" t="inlineStr">
        <is>
          <t>Alapszint</t>
        </is>
      </c>
      <c r="H8" s="9" t="inlineStr">
        <is>
          <t>Postman API-teszteléshez ingyenes. Swagger Editor online. Kafka Confluent free tier-en. MuleSoft Trailhead ingyenes. Kb. 20–24 óra.</t>
        </is>
      </c>
      <c r="I8" s="36" t="inlineStr">
        <is>
          <t>HWSW / NobleProg</t>
        </is>
      </c>
      <c r="J8" s="37" t="n">
        <v>149000</v>
      </c>
      <c r="K8" s="37" t="n">
        <v>0</v>
      </c>
      <c r="L8" s="38">
        <f>J8+K8</f>
        <v/>
      </c>
      <c r="M8" s="36" t="inlineStr">
        <is>
          <t>2025 H2</t>
        </is>
      </c>
    </row>
    <row r="9">
      <c r="A9" s="22" t="inlineStr">
        <is>
          <t>KÖZÉPSZINT  |  Practitioner  —  Fejlesztő szint (1–3 év tapasztalat)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5" t="n"/>
    </row>
    <row r="10" ht="104" customHeight="1" s="20">
      <c r="A10" s="10" t="n">
        <v>5</v>
      </c>
      <c r="B10" s="10" t="inlineStr">
        <is>
          <t>TOGAF ADM és Archimate</t>
        </is>
      </c>
      <c r="C10" s="10" t="inlineStr">
        <is>
          <t>TOGAF ADM mester szintű alkalmazása: Preliminary fázis – architecture principles és keretrendszer; Fázis A-H részletesen: célok, bemenetek, lépések, kimenetek; ABB és SBB különbség; Architecture Repository: Metamodel, Landscape, Standards Library; Archimate 3.2 notation részletesen: Motivation, Strategy, Business, Application, Technology, Physical, Implementation rétegek; összetett EA nézetek Archi eszközzel: Capability Map, Application Landscape, Technology Roadmap</t>
        </is>
      </c>
      <c r="D10" s="10" t="inlineStr">
        <is>
          <t>Archi (ingyenes), Draw.io (Archimate template-ekkel), Confluence, Enterprise Architect (Sparx)</t>
        </is>
      </c>
      <c r="E10" s="10" t="inlineStr">
        <is>
          <t>Claude: Archimate elem és reláció generálás leírásból; Draw.io MCP: automatikus EA diagram rajzolás és frissítés; Claude: ADR tervezet generálás döntési kontextusból; AI: architektúra gap elemzés AS-IS és TO-BE között</t>
        </is>
      </c>
      <c r="F10" s="10" t="inlineStr">
        <is>
          <t>TOGAF Practitioner Level 2 (The Open Group) – kombinált Level 1+2 vizsga, 70 kérdés, 60% átmenő</t>
        </is>
      </c>
      <c r="G10" s="10" t="inlineStr">
        <is>
          <t>Középszint</t>
        </is>
      </c>
      <c r="H10" s="10" t="inlineStr">
        <is>
          <t>Archi ingyenes és hatékony TOGAF/Archimate eszköz. TOGAF Official Study Guide. Kb. 40–60 óra felkészülés Level 2 vizsgára.</t>
        </is>
      </c>
      <c r="I10" s="39" t="inlineStr">
        <is>
          <t>Bdat.ACADEMY</t>
        </is>
      </c>
      <c r="J10" s="40" t="n">
        <v>450000</v>
      </c>
      <c r="K10" s="40" t="n">
        <v>209000</v>
      </c>
      <c r="L10" s="41">
        <f>J10+K10</f>
        <v/>
      </c>
      <c r="M10" s="39" t="inlineStr">
        <is>
          <t>2026 H1</t>
        </is>
      </c>
    </row>
    <row r="11" ht="117" customHeight="1" s="20">
      <c r="A11" s="10" t="n">
        <v>6</v>
      </c>
      <c r="B11" s="10" t="inlineStr">
        <is>
          <t>Cloud architektúra tervezés</t>
        </is>
      </c>
      <c r="C11" s="10" t="inlineStr">
        <is>
          <t>Cloud architektúra tervezés haladó szinten: AWS Well-Architected Framework 6 pillére (Operational Excellence, Security, Reliability, Performance Efficiency, Cost Optimization, Sustainability); Azure Well-Architected; landing zone kialakítás (hub-spoke, enterprise scale); multi-cloud kihívások; hybrid cloud integráció (Azure Arc, AWS Outposts); cloud-native elvek (12-factor app, microservices, serverless); FinOps: reserved instances, spot instances, auto-scaling; DR tervezés (RTO/RPO, pilot light, warm standby, multi-region active-active)</t>
        </is>
      </c>
      <c r="D11" s="10" t="inlineStr">
        <is>
          <t>AWS Well-Architected Tool, Azure Advisor, Draw.io, Terraform (IaC alapok), Pulumi</t>
        </is>
      </c>
      <c r="E11" s="10" t="inlineStr">
        <is>
          <t>Claude + Draw.io MCP: cloud architektúra rajz természetes leírásból AWS/Azure ikonokkal; AI cost optimalizálás javaslat (Reserved Instance vs. On-Demand elemzés); Claude: Well-Architected Review kérdések feldolgozása és gap azonosítás</t>
        </is>
      </c>
      <c r="F11" s="10" t="inlineStr">
        <is>
          <t>AWS Solutions Architect Associate (SAA-C03) VAGY Microsoft Azure Solutions Architect Expert (AZ-305)</t>
        </is>
      </c>
      <c r="G11" s="10" t="inlineStr">
        <is>
          <t>Középszint</t>
        </is>
      </c>
      <c r="H11" s="10" t="inlineStr">
        <is>
          <t>SAA-C03: 65 kérdés, 130 perc, 720/1000 pont átmenő. AZ-304 előfeltétel: AZ-104 ajánlott. Kb. 60–80 óra felkészülés.</t>
        </is>
      </c>
      <c r="I11" s="39" t="inlineStr">
        <is>
          <t>Masterfield / euzert.hu</t>
        </is>
      </c>
      <c r="J11" s="40" t="n">
        <v>350000</v>
      </c>
      <c r="K11" s="40" t="n">
        <v>62700</v>
      </c>
      <c r="L11" s="41">
        <f>J11+K11</f>
        <v/>
      </c>
      <c r="M11" s="39" t="inlineStr">
        <is>
          <t>2026 H1</t>
        </is>
      </c>
    </row>
    <row r="12" ht="104" customHeight="1" s="20">
      <c r="A12" s="10" t="n">
        <v>7</v>
      </c>
      <c r="B12" s="10" t="inlineStr">
        <is>
          <t>Microservices és konténerizáció</t>
        </is>
      </c>
      <c r="C12" s="10" t="inlineStr">
        <is>
          <t>Microservices és cloud-native technológiák: microservices elvek és monolith összehasonlítás; decomposition stratégiák (DDD Strangler Fig); Docker: Dockerfile, image, container, compose; Kubernetes: Pod, Deployment, Service, ConfigMap, Secret, Ingress, Helm; service mesh (Istio, Linkerd) bevezető; API Gateway (Kong, AWS API GW); event-driven microservices (Kafka, RabbitMQ); observability: structured logging, distributed tracing (Jaeger), Prometheus + Grafana; GitOps alapok (ArgoCD)</t>
        </is>
      </c>
      <c r="D12" s="10" t="inlineStr">
        <is>
          <t>Docker Desktop, Kubernetes (minikube/kind), Helm, kubectl, Draw.io, Postman, ArgoCD</t>
        </is>
      </c>
      <c r="E12" s="10" t="inlineStr">
        <is>
          <t>Claude Code: Dockerfile és Kubernetes manifest generálás specifikáció alapján; Draw.io MCP: microservices architektúra diagram; GitHub Copilot: K8s YAML kiegészítés; Claude: Helm chart testre szabása természetes leírásból</t>
        </is>
      </c>
      <c r="F12" s="10" t="inlineStr">
        <is>
          <t>CKAD (Certified Kubernetes Application Developer – CNCF) – 2 óra hands-on vizsga VAGY CKA (Certified Kubernetes Administrator)</t>
        </is>
      </c>
      <c r="G12" s="10" t="inlineStr">
        <is>
          <t>Középszint</t>
        </is>
      </c>
      <c r="H12" s="10" t="inlineStr">
        <is>
          <t>CKAD hands-on vizsga live Kubernetes clusterben. KillerCoda és KillerShell ingyenes practice platformok. Kb. 60–80 óra.</t>
        </is>
      </c>
      <c r="I12" s="39" t="inlineStr">
        <is>
          <t>HWSW / NobleProg</t>
        </is>
      </c>
      <c r="J12" s="40" t="n">
        <v>250000</v>
      </c>
      <c r="K12" s="40" t="n">
        <v>169100</v>
      </c>
      <c r="L12" s="41">
        <f>J12+K12</f>
        <v/>
      </c>
      <c r="M12" s="39" t="inlineStr">
        <is>
          <t>2026 H1</t>
        </is>
      </c>
    </row>
    <row r="13" ht="104" customHeight="1" s="20">
      <c r="A13" s="10" t="n">
        <v>8</v>
      </c>
      <c r="B13" s="10" t="inlineStr">
        <is>
          <t>Security by Design</t>
        </is>
      </c>
      <c r="C13" s="10" t="inlineStr">
        <is>
          <t>Biztonság beépítése az architektúrába: Zero Trust Architecture elvei (Never Trust, Always Verify, Assume Breach); IAM, PAM, MFA, SSO; threat modeling (STRIDE részletesen: Spoofing, Tampering, Repudiation, Information Disclosure, DoS, Elevation); OWASP Top 10 2023 architektúra szinten; Privacy by Design (PbD, ISO 29101); titkosítás és kulcskezelés (HSM, Azure Key Vault, AWS KMS); mTLS; Supply Chain Security (SBOM, SLSA); Cloud Security Posture Management (CSPM)</t>
        </is>
      </c>
      <c r="D13" s="10" t="inlineStr">
        <is>
          <t>OWASP Threat Dragon, MITRE ATT&amp;CK, Draw.io, Azure Defender for Cloud, AWS Security Hub</t>
        </is>
      </c>
      <c r="E13" s="10" t="inlineStr">
        <is>
          <t>Claude: threat model generálás rendszerleírásból STRIDE keretrendszerben; AI security gap elemzés architektúra diagramból; OWASP Top 10 mitigáció javaslat adott rendszerhez; Claude: security design review checklist generálás</t>
        </is>
      </c>
      <c r="F13" s="10" t="inlineStr">
        <is>
          <t>TOGAF Security Architecture Practice VAGY AWS Security Specialty (SCS-C02) VAGY ISO 27001 Foundation + belső security arch tréning</t>
        </is>
      </c>
      <c r="G13" s="10" t="inlineStr">
        <is>
          <t>Középszint</t>
        </is>
      </c>
      <c r="H13" s="10" t="inlineStr">
        <is>
          <t>OWASP Threat Dragon ingyenes threat modeling eszköz. MITRE ATT&amp;CK ingyenes online. AWS Security Specialty advanced szintű vizsga. Kb. 30–40 óra.</t>
        </is>
      </c>
      <c r="I13" s="39" t="inlineStr">
        <is>
          <t>KÜRT Akadémia / euzert.hu</t>
        </is>
      </c>
      <c r="J13" s="40" t="n">
        <v>250000</v>
      </c>
      <c r="K13" s="40" t="n">
        <v>62700</v>
      </c>
      <c r="L13" s="41">
        <f>J13+K13</f>
        <v/>
      </c>
      <c r="M13" s="39" t="inlineStr">
        <is>
          <t>2026 H1</t>
        </is>
      </c>
    </row>
    <row r="14">
      <c r="A14" s="25" t="inlineStr">
        <is>
          <t>HALADÓ SZINT  |  Expert / Lead  —  Mester szint (3+ év tapasztalat)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5" t="n"/>
    </row>
    <row r="15" ht="104" customHeight="1" s="20">
      <c r="A15" s="11" t="n">
        <v>9</v>
      </c>
      <c r="B15" s="11" t="inlineStr">
        <is>
          <t>Enterprise Architecture governance</t>
        </is>
      </c>
      <c r="C15" s="11" t="inlineStr">
        <is>
          <t>Enterprise Architecture governance mester szinten: Architecture Review Board (ARB) felépítése és működtetése; Architecture Review folyamat (submission, review, approval, exception); Tech Radar karbantartása (ThoughtWorks formátum: Adopt/Trial/Assess/Hold); Architecture Decision Records (ADR) rendszer; EA érettség értékelés (TOGAF Architecture Maturity Model); technológiai lifecycle management: évenkénti platform review; reference architecture-ök; EA tooling: LeanIX, Avolution ABACUS összehasonlítás</t>
        </is>
      </c>
      <c r="D15" s="11" t="inlineStr">
        <is>
          <t>Archi, Confluence (ADR sablonok), Draw.io, Miro, LeanIX (enterprise), ThoughtWorks Tech Radar</t>
        </is>
      </c>
      <c r="E15" s="11" t="inlineStr">
        <is>
          <t>Miro AI + Draw.io MCP: tech radar vizualizáció automatikus frissítése legújabb értékelések alapján; Claude: ADR generálás döntési kontextusból; AI: technology landscape összehasonlítás és értékelési javaslat; Miro AI: ARB review workshop összefoglalás</t>
        </is>
      </c>
      <c r="F15" s="11" t="inlineStr">
        <is>
          <t>TOGAF Expert Level 3 (The Open Group) VAGY Archimate 3 Certified Practitioner</t>
        </is>
      </c>
      <c r="G15" s="11" t="inlineStr">
        <is>
          <t>Haladó szint</t>
        </is>
      </c>
      <c r="H15" s="11" t="inlineStr">
        <is>
          <t>TOGAF Expert szint tapasztalati portfolio benyújtást igényel. LeanIX nagyvállalati EA tooling de facto standard. Kb. 40+ óra.</t>
        </is>
      </c>
      <c r="I15" s="42" t="inlineStr">
        <is>
          <t>Bdat.ACADEMY / Belső</t>
        </is>
      </c>
      <c r="J15" s="43" t="n">
        <v>350000</v>
      </c>
      <c r="K15" s="43" t="n">
        <v>0</v>
      </c>
      <c r="L15" s="44">
        <f>J15+K15</f>
        <v/>
      </c>
      <c r="M15" s="42" t="inlineStr">
        <is>
          <t>2026 H2</t>
        </is>
      </c>
    </row>
    <row r="16" ht="117" customHeight="1" s="20">
      <c r="A16" s="11" t="n">
        <v>10</v>
      </c>
      <c r="B16" s="11" t="inlineStr">
        <is>
          <t>AI és cloud-native architektúra</t>
        </is>
      </c>
      <c r="C16" s="11" t="inlineStr">
        <is>
          <t>Vállalati AI és cloud-native architektúra tervezés: LLM integráció enterprise rendszerekbe – közvetlen API vs. RAG vs. fine-tuning; RAG architektúra részletesen: embedding, vector store (Pinecone, Qdrant, pgvector), retrieval pipeline; MCP alapú enterprise toolchain: tervezési elvek, biztonság, multi-agent orchestráció; MLOps pipeline: tanítás – validálás – deployment – monitoring; Agentic workflow design: orchestrator-subagent, human-in-the-loop; LLMOps: prompt versioning, evaluation, cost monitoring; AI TRiSM (Trust, Risk, Security Management)</t>
        </is>
      </c>
      <c r="D16" s="11" t="inlineStr">
        <is>
          <t>Claude Code, AWS Bedrock, Azure OpenAI Service, Draw.io, LangChain, LangGraph, Qdrant/Pinecone</t>
        </is>
      </c>
      <c r="E16" s="11" t="inlineStr">
        <is>
          <t>Claude Code + MCP: specifikációból architektúra diagram, ADR, IaC template – teljes architect workflow; Draw.io MCP: AI pipeline diagram; Claude: RAG architektúra javaslat adott enterprise use case-hez</t>
        </is>
      </c>
      <c r="F16" s="11" t="inlineStr">
        <is>
          <t>AWS Machine Learning Specialty (MLS-C01) VAGY Azure AI Engineer Associate (AI-102) VAGY Google Professional ML Engineer</t>
        </is>
      </c>
      <c r="G16" s="11" t="inlineStr">
        <is>
          <t>Haladó szint</t>
        </is>
      </c>
      <c r="H16" s="11" t="inlineStr">
        <is>
          <t>Leggyorsabban fejlődő terület 2025-ben. POC projekt kötelező. Anthropic, AWS, Azure toolkitet folyamatosan frissítik. Kb. 40–60 óra + követés.</t>
        </is>
      </c>
      <c r="I16" s="42" t="inlineStr">
        <is>
          <t>NobleProg / HWSW</t>
        </is>
      </c>
      <c r="J16" s="43" t="n">
        <v>350000</v>
      </c>
      <c r="K16" s="43" t="n">
        <v>62700</v>
      </c>
      <c r="L16" s="44">
        <f>J16+K16</f>
        <v/>
      </c>
      <c r="M16" s="42" t="inlineStr">
        <is>
          <t>2026 H2</t>
        </is>
      </c>
    </row>
    <row r="17" ht="104" customHeight="1" s="20">
      <c r="A17" s="11" t="n">
        <v>11</v>
      </c>
      <c r="B17" s="11" t="inlineStr">
        <is>
          <t>Technológiai leadership és mentoring</t>
        </is>
      </c>
      <c r="C17" s="11" t="inlineStr">
        <is>
          <t>Technológiai leadership és szakmai közösség építése: technológiai vízió kommunikálása üzlettől technikáig; junior és mid-level architektekek mentorálása (Dreyfus modell, situational leadership); architecture guild / community of practice; engineering culture: pszichológiai biztonság, blameless postmortem, innovációs tér; konferencia előadás előkészítése (tech talk, lightning talk); blog és thought leadership tartalom; pair architecture session-ök; tech radar building csapattal</t>
        </is>
      </c>
      <c r="D17" s="11" t="inlineStr">
        <is>
          <t>Confluence (tech blog), Miro, Teams (prezentáció), GitHub (code examples)</t>
        </is>
      </c>
      <c r="E17" s="11" t="inlineStr">
        <is>
          <t>Claude: mentoring terv és fejlesztési roadmap a mentee számára; technikai prezentáció tervezet és talking points generálása; Miro AI: architecture guild workshop facilitálás és összefoglalás; Claude: blog bejegyzés tervezet technikai témáról</t>
        </is>
      </c>
      <c r="F17" s="11" t="inlineStr">
        <is>
          <t>Belső architect leadership program + min. 2 megtartott tech talk + 1 konferencia előadás (belső vagy külső)</t>
        </is>
      </c>
      <c r="G17" s="11" t="inlineStr">
        <is>
          <t>Haladó szint</t>
        </is>
      </c>
      <c r="H17" s="11" t="inlineStr">
        <is>
          <t>Ajánlott: Staff Engineer (Will Larson), Fundamentals of Software Architecture (Richards &amp; Ford). Kb. 20+ óra + coaching.</t>
        </is>
      </c>
      <c r="I17" s="42" t="inlineStr">
        <is>
          <t>Belső program</t>
        </is>
      </c>
      <c r="J17" s="43" t="n">
        <v>200000</v>
      </c>
      <c r="K17" s="43" t="n">
        <v>0</v>
      </c>
      <c r="L17" s="44">
        <f>J17+K17</f>
        <v/>
      </c>
      <c r="M17" s="42" t="inlineStr">
        <is>
          <t>2026 H2</t>
        </is>
      </c>
    </row>
    <row r="18">
      <c r="A18" s="48" t="n"/>
      <c r="B18" s="49" t="inlineStr">
        <is>
          <t>Alapszint összesen</t>
        </is>
      </c>
      <c r="C18" s="48" t="n"/>
      <c r="D18" s="48" t="n"/>
      <c r="E18" s="48" t="n"/>
      <c r="F18" s="48" t="n"/>
      <c r="G18" s="48" t="n"/>
      <c r="H18" s="48" t="n"/>
      <c r="I18" s="48" t="n"/>
      <c r="J18" s="50">
        <f>SUM(J5:J8)</f>
        <v/>
      </c>
      <c r="K18" s="50">
        <f>SUM(K5:K8)</f>
        <v/>
      </c>
      <c r="L18" s="50">
        <f>SUM(L5:L8)</f>
        <v/>
      </c>
      <c r="M18" s="48" t="n"/>
    </row>
    <row r="19">
      <c r="A19" s="51" t="n"/>
      <c r="B19" s="52" t="inlineStr">
        <is>
          <t>Középszint összesen</t>
        </is>
      </c>
      <c r="C19" s="51" t="n"/>
      <c r="D19" s="51" t="n"/>
      <c r="E19" s="51" t="n"/>
      <c r="F19" s="51" t="n"/>
      <c r="G19" s="51" t="n"/>
      <c r="H19" s="51" t="n"/>
      <c r="I19" s="51" t="n"/>
      <c r="J19" s="53">
        <f>SUM(J10:J13)</f>
        <v/>
      </c>
      <c r="K19" s="53">
        <f>SUM(K10:K13)</f>
        <v/>
      </c>
      <c r="L19" s="53">
        <f>SUM(L10:L13)</f>
        <v/>
      </c>
      <c r="M19" s="51" t="n"/>
    </row>
    <row r="20">
      <c r="A20" s="54" t="n"/>
      <c r="B20" s="55" t="inlineStr">
        <is>
          <t>Haladó szint összesen</t>
        </is>
      </c>
      <c r="C20" s="54" t="n"/>
      <c r="D20" s="54" t="n"/>
      <c r="E20" s="54" t="n"/>
      <c r="F20" s="54" t="n"/>
      <c r="G20" s="54" t="n"/>
      <c r="H20" s="54" t="n"/>
      <c r="I20" s="54" t="n"/>
      <c r="J20" s="56">
        <f>SUM(J15:J17)</f>
        <v/>
      </c>
      <c r="K20" s="56">
        <f>SUM(K15:K17)</f>
        <v/>
      </c>
      <c r="L20" s="56">
        <f>SUM(L15:L17)</f>
        <v/>
      </c>
      <c r="M20" s="54" t="n"/>
    </row>
    <row r="21">
      <c r="A21" s="57" t="n"/>
      <c r="B21" s="58" t="inlineStr">
        <is>
          <t>TELJES ÚTVONAL ÖSSZESEN</t>
        </is>
      </c>
      <c r="C21" s="57" t="n"/>
      <c r="D21" s="57" t="n"/>
      <c r="E21" s="57" t="n"/>
      <c r="F21" s="57" t="n"/>
      <c r="G21" s="57" t="n"/>
      <c r="H21" s="57" t="n"/>
      <c r="I21" s="57" t="n"/>
      <c r="J21" s="59">
        <f>J18+J19+J20</f>
        <v/>
      </c>
      <c r="K21" s="59">
        <f>K18+K19+K20</f>
        <v/>
      </c>
      <c r="L21" s="59">
        <f>L18+L19+L20</f>
        <v/>
      </c>
      <c r="M21" s="57" t="n"/>
    </row>
  </sheetData>
  <autoFilter ref="A3:H3"/>
  <mergeCells count="5">
    <mergeCell ref="A14:M14"/>
    <mergeCell ref="A1:M1"/>
    <mergeCell ref="A9:M9"/>
    <mergeCell ref="A4:M4"/>
    <mergeCell ref="A2:M2"/>
  </mergeCells>
  <pageMargins left="0.75" right="0.75" top="1" bottom="1" header="0.5" footer="0.5"/>
  <headerFooter>
    <oddHeader>&amp;C&amp;"Calibri"&amp;1 &amp;K000000 Internal#_x000d_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2E75B6"/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style="20" min="1" max="1"/>
    <col width="28" customWidth="1" style="20" min="2" max="2"/>
    <col width="58" customWidth="1" style="20" min="3" max="3"/>
    <col width="32" customWidth="1" style="20" min="4" max="4"/>
    <col width="48" customWidth="1" style="20" min="5" max="5"/>
    <col width="37" customWidth="1" style="20" min="6" max="6"/>
    <col width="14" customWidth="1" style="20" min="7" max="7"/>
    <col width="30" customWidth="1" style="20" min="8" max="8"/>
    <col width="30" customWidth="1" style="20" min="9" max="9"/>
    <col width="20" customWidth="1" style="20" min="10" max="10"/>
    <col width="20" customWidth="1" style="20" min="11" max="11"/>
    <col width="22" customWidth="1" style="20" min="12" max="12"/>
    <col width="16" customWidth="1" style="20" min="13" max="13"/>
  </cols>
  <sheetData>
    <row r="1">
      <c r="A1" s="62" t="inlineStr">
        <is>
          <t>Data Engineer &amp; Analytics  —  Adatmérnök és Analitika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1" t="n"/>
    </row>
    <row r="2">
      <c r="A2" s="64" t="inlineStr">
        <is>
          <t>Az adatvezérelt szervezet alapja. Adatpipeline-ok, adattárházak és analitikai megoldások tervezése és üzemeltetése.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1" t="n"/>
    </row>
    <row r="3">
      <c r="A3" s="30" t="inlineStr">
        <is>
          <t>#</t>
        </is>
      </c>
      <c r="B3" s="30" t="inlineStr">
        <is>
          <t>Képzési terület</t>
        </is>
      </c>
      <c r="C3" s="30" t="inlineStr">
        <is>
          <t>Képzési tartalom</t>
        </is>
      </c>
      <c r="D3" s="30" t="inlineStr">
        <is>
          <t>Eszköz / Platform</t>
        </is>
      </c>
      <c r="E3" s="30" t="inlineStr">
        <is>
          <t>AI lehetőség</t>
        </is>
      </c>
      <c r="F3" s="30" t="inlineStr">
        <is>
          <t>Bizonyítvány / Kimenet</t>
        </is>
      </c>
      <c r="G3" s="30" t="inlineStr">
        <is>
          <t>Szint</t>
        </is>
      </c>
      <c r="H3" s="30" t="inlineStr">
        <is>
          <t>Megjegyzés</t>
        </is>
      </c>
      <c r="I3" s="30" t="inlineStr">
        <is>
          <t>Képzőhely / Provider</t>
        </is>
      </c>
      <c r="J3" s="30" t="inlineStr">
        <is>
          <t>Képzési díj (nettó Ft)</t>
        </is>
      </c>
      <c r="K3" s="30" t="inlineStr">
        <is>
          <t>Vizsgadíj (nettó Ft)</t>
        </is>
      </c>
      <c r="L3" s="30" t="inlineStr">
        <is>
          <t>Össz. költség/fő (Ft)</t>
        </is>
      </c>
      <c r="M3" s="30" t="inlineStr">
        <is>
          <t>Javasolt félév</t>
        </is>
      </c>
    </row>
    <row r="4">
      <c r="A4" s="65" t="inlineStr">
        <is>
          <t>ALAPSZINT  |  Foundation  —  Belépő szint (0–1 év tapasztalat)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1" t="n"/>
    </row>
    <row r="5">
      <c r="A5" s="67" t="n">
        <v>1</v>
      </c>
      <c r="B5" s="36" t="inlineStr">
        <is>
          <t>SQL és relációs adatbázisok</t>
        </is>
      </c>
      <c r="C5" s="36" t="inlineStr">
        <is>
          <t>SQL haladó: JOIN típusok, window functions, CTE, subquery optimalizáció; relációs adatbázis tervezés: normálformák (1NF-3NF, BCNF); indexelés és query plan elemzés; PostgreSQL és MS SQL Server; adatmodellezés: ER diagramok, star schema bevezető</t>
        </is>
      </c>
      <c r="D5" s="36" t="inlineStr">
        <is>
          <t>PostgreSQL, MS SQL Server, DBeaver, Draw.io</t>
        </is>
      </c>
      <c r="E5" s="36" t="inlineStr">
        <is>
          <t>Claude Code: SQL query generálás és optimalizálás természetes leírásból; GitHub Copilot: SQL kiegészítés</t>
        </is>
      </c>
      <c r="F5" s="36" t="inlineStr">
        <is>
          <t>Belső SQL workshop + MS DP-900 (Azure Data Fundamentals) opcionálisan</t>
        </is>
      </c>
      <c r="G5" s="36" t="inlineStr">
        <is>
          <t>Alapszint</t>
        </is>
      </c>
      <c r="H5" s="36" t="inlineStr">
        <is>
          <t>Minden data munkakörre kötelező alap. Kb. 16–24 óra.</t>
        </is>
      </c>
      <c r="I5" s="36" t="inlineStr">
        <is>
          <t>Training360 / SZÁMALK</t>
        </is>
      </c>
      <c r="J5" s="37" t="n">
        <v>150000</v>
      </c>
      <c r="K5" s="37" t="n">
        <v>37620</v>
      </c>
      <c r="L5" s="38">
        <f>J5+K5</f>
        <v/>
      </c>
      <c r="M5" s="36" t="inlineStr">
        <is>
          <t>2025 H2</t>
        </is>
      </c>
    </row>
    <row r="6">
      <c r="A6" s="67" t="n">
        <v>2</v>
      </c>
      <c r="B6" s="36" t="inlineStr">
        <is>
          <t>Python adatelemzéshez</t>
        </is>
      </c>
      <c r="C6" s="36" t="inlineStr">
        <is>
          <t>Python alapok adatelemzési fókusszal: Pandas DataFrame műveletek, adattisztítás, aggregáció; NumPy tömb műveletek; Matplotlib és Seaborn vizualizáció; Jupyter Notebook; fájlformátumok: CSV, JSON, Parquet, Excel; API hívások requests könyvtárral</t>
        </is>
      </c>
      <c r="D6" s="36" t="inlineStr">
        <is>
          <t>Python 3, Jupyter Notebook, VS Code, Pandas, NumPy</t>
        </is>
      </c>
      <c r="E6" s="36" t="inlineStr">
        <is>
          <t>Claude Code: Python script generálás adatelemzési feladatokhoz; GitHub Copilot: kód kiegészítés</t>
        </is>
      </c>
      <c r="F6" s="36" t="inlineStr">
        <is>
          <t>Belső Python data workshop igazolás + min. 3 adatelemző notebook</t>
        </is>
      </c>
      <c r="G6" s="36" t="inlineStr">
        <is>
          <t>Alapszint</t>
        </is>
      </c>
      <c r="H6" s="36" t="inlineStr">
        <is>
          <t>Coursera/DataCamp alternatíva. Kb. 20–24 óra.</t>
        </is>
      </c>
      <c r="I6" s="36" t="inlineStr">
        <is>
          <t>Training360 / CUBIX</t>
        </is>
      </c>
      <c r="J6" s="37" t="n">
        <v>180000</v>
      </c>
      <c r="K6" s="37" t="n">
        <v>0</v>
      </c>
      <c r="L6" s="38">
        <f>J6+K6</f>
        <v/>
      </c>
      <c r="M6" s="36" t="inlineStr">
        <is>
          <t>2025 H2</t>
        </is>
      </c>
    </row>
    <row r="7">
      <c r="A7" s="67" t="n">
        <v>3</v>
      </c>
      <c r="B7" s="36" t="inlineStr">
        <is>
          <t>ETL és adatpipeline alapok</t>
        </is>
      </c>
      <c r="C7" s="36" t="inlineStr">
        <is>
          <t>ETL (Extract-Transform-Load) alapfogalmak; batch vs. streaming; adatminőség; Apache Airflow: DAG-ok, operátorok; dbt (data build tool) alapok: modellek, tesztek, dokumentáció; adattárház és data lake különbségek; data lineage</t>
        </is>
      </c>
      <c r="D7" s="36" t="inlineStr">
        <is>
          <t>Apache Airflow, dbt Core, Python, SQL</t>
        </is>
      </c>
      <c r="E7" s="36" t="inlineStr">
        <is>
          <t>Claude: dbt model generálás leírásból; Airflow DAG Python kód generálás</t>
        </is>
      </c>
      <c r="F7" s="36" t="inlineStr">
        <is>
          <t>Belső ETL workshop + dbt Fundamentals badge (ingyenes online)</t>
        </is>
      </c>
      <c r="G7" s="36" t="inlineStr">
        <is>
          <t>Alapszint</t>
        </is>
      </c>
      <c r="H7" s="36" t="inlineStr">
        <is>
          <t>dbt Fundamentals ingyenes online kurzus. Kb. 16 óra.</t>
        </is>
      </c>
      <c r="I7" s="36" t="inlineStr">
        <is>
          <t>CUBIX / HWSW</t>
        </is>
      </c>
      <c r="J7" s="37" t="n">
        <v>149000</v>
      </c>
      <c r="K7" s="37" t="n">
        <v>0</v>
      </c>
      <c r="L7" s="38">
        <f>J7+K7</f>
        <v/>
      </c>
      <c r="M7" s="36" t="inlineStr">
        <is>
          <t>2025 H2</t>
        </is>
      </c>
    </row>
    <row r="8">
      <c r="A8" s="67" t="n">
        <v>4</v>
      </c>
      <c r="B8" s="36" t="inlineStr">
        <is>
          <t>Adatvizualizáció és BI alapok</t>
        </is>
      </c>
      <c r="C8" s="36" t="inlineStr">
        <is>
          <t>Adatvizualizáció alapelvei (Edward Tufte); Power BI Desktop: adatimport, adatmodell, DAX alapok, vizualizációk; dashboard tervezés; KPI meghatározás; self-service BI; riportok megosztása és ütemezett frissítés</t>
        </is>
      </c>
      <c r="D8" s="36" t="inlineStr">
        <is>
          <t>Power BI Desktop, Power BI Service, Excel</t>
        </is>
      </c>
      <c r="E8" s="36" t="inlineStr">
        <is>
          <t>Power BI Copilot: természetes nyelvű lekérdezés és automatikus insight-ok</t>
        </is>
      </c>
      <c r="F8" s="36" t="inlineStr">
        <is>
          <t>PL-300 Microsoft Power BI Data Analyst Associate (opcionális alapszinten)</t>
        </is>
      </c>
      <c r="G8" s="36" t="inlineStr">
        <is>
          <t>Alapszint</t>
        </is>
      </c>
      <c r="H8" s="36" t="inlineStr">
        <is>
          <t>MS Learn ingyenes Power BI learning path. Kb. 16–20 óra.</t>
        </is>
      </c>
      <c r="I8" s="36" t="inlineStr">
        <is>
          <t>Masterfield / Training360</t>
        </is>
      </c>
      <c r="J8" s="37" t="n">
        <v>180000</v>
      </c>
      <c r="K8" s="37" t="n">
        <v>63000</v>
      </c>
      <c r="L8" s="38">
        <f>J8+K8</f>
        <v/>
      </c>
      <c r="M8" s="36" t="inlineStr">
        <is>
          <t>2025 H2</t>
        </is>
      </c>
    </row>
    <row r="9">
      <c r="A9" s="68" t="inlineStr">
        <is>
          <t>KÖZÉPSZINT  |  Practitioner  —  Fejlesztő szint (1–3 év tapasztalat)</t>
        </is>
      </c>
      <c r="B9" s="60" t="n"/>
      <c r="C9" s="60" t="n"/>
      <c r="D9" s="60" t="n"/>
      <c r="E9" s="60" t="n"/>
      <c r="F9" s="60" t="n"/>
      <c r="G9" s="60" t="n"/>
      <c r="H9" s="60" t="n"/>
      <c r="I9" s="60" t="n"/>
      <c r="J9" s="60" t="n"/>
      <c r="K9" s="60" t="n"/>
      <c r="L9" s="60" t="n"/>
      <c r="M9" s="61" t="n"/>
    </row>
    <row r="10">
      <c r="A10" s="70" t="n">
        <v>5</v>
      </c>
      <c r="B10" s="39" t="inlineStr">
        <is>
          <t>Adattárház és dimenzionális modellezés</t>
        </is>
      </c>
      <c r="C10" s="39" t="inlineStr">
        <is>
          <t>Kimball dimenzionális modellezés: fact és dimension táblák; SCD típusok (1, 2, 3); star/snowflake schema; data vault 2.0; Snowflake platform: virtual warehouse, time travel; modern data stack; data lakehouse (Delta Lake, Iceberg)</t>
        </is>
      </c>
      <c r="D10" s="39" t="inlineStr">
        <is>
          <t>Snowflake, dbt Cloud, Draw.io, SQL</t>
        </is>
      </c>
      <c r="E10" s="39" t="inlineStr">
        <is>
          <t>Claude: dimenzionális modell tervezés üzleti igényből; dbt model generálás</t>
        </is>
      </c>
      <c r="F10" s="39" t="inlineStr">
        <is>
          <t>Snowflake SnowPro Core Certification + dbt Analytics Engineering Cert</t>
        </is>
      </c>
      <c r="G10" s="39" t="inlineStr">
        <is>
          <t>Középszint</t>
        </is>
      </c>
      <c r="H10" s="39" t="inlineStr">
        <is>
          <t>Snowflake free trial elérhető. Kb. 30–40 óra.</t>
        </is>
      </c>
      <c r="I10" s="39" t="inlineStr">
        <is>
          <t>CUBIX / NobleProg</t>
        </is>
      </c>
      <c r="J10" s="40" t="n">
        <v>250000</v>
      </c>
      <c r="K10" s="40" t="n">
        <v>76000</v>
      </c>
      <c r="L10" s="41">
        <f>J10+K10</f>
        <v/>
      </c>
      <c r="M10" s="39" t="inlineStr">
        <is>
          <t>2026 H1</t>
        </is>
      </c>
    </row>
    <row r="11">
      <c r="A11" s="70" t="n">
        <v>6</v>
      </c>
      <c r="B11" s="39" t="inlineStr">
        <is>
          <t>Apache Spark és big data</t>
        </is>
      </c>
      <c r="C11" s="39" t="inlineStr">
        <is>
          <t>Apache Spark: RDD, DataFrame, Spark SQL; PySpark; Structured Streaming; partícionálás; Databricks: notebook, cluster, Unity Catalog; Delta Lake: ACID tranzakciók, time travel; big data architektúra</t>
        </is>
      </c>
      <c r="D11" s="39" t="inlineStr">
        <is>
          <t>Apache Spark, PySpark, Databricks, Delta Lake</t>
        </is>
      </c>
      <c r="E11" s="39" t="inlineStr">
        <is>
          <t>Databricks AI Functions; Claude: PySpark kód generálás és optimalizálás</t>
        </is>
      </c>
      <c r="F11" s="39" t="inlineStr">
        <is>
          <t>Databricks Certified Data Engineer Associate</t>
        </is>
      </c>
      <c r="G11" s="39" t="inlineStr">
        <is>
          <t>Középszint</t>
        </is>
      </c>
      <c r="H11" s="39" t="inlineStr">
        <is>
          <t>Databricks Community Edition ingyenes. Kb. 40 óra.</t>
        </is>
      </c>
      <c r="I11" s="39" t="inlineStr">
        <is>
          <t>CUBIX / NobleProg</t>
        </is>
      </c>
      <c r="J11" s="40" t="n">
        <v>280000</v>
      </c>
      <c r="K11" s="40" t="n">
        <v>76000</v>
      </c>
      <c r="L11" s="41">
        <f>J11+K11</f>
        <v/>
      </c>
      <c r="M11" s="39" t="inlineStr">
        <is>
          <t>2026 H1</t>
        </is>
      </c>
    </row>
    <row r="12">
      <c r="A12" s="70" t="n">
        <v>7</v>
      </c>
      <c r="B12" s="39" t="inlineStr">
        <is>
          <t>Streaming és real-time adatfeldolgozás</t>
        </is>
      </c>
      <c r="C12" s="39" t="inlineStr">
        <is>
          <t>Apache Kafka: topic, partition, consumer group; Kafka Connect, Kafka Streams; CDC (Debezium); real-time dashboard; stream processing: windowing, watermark, late data kezelés</t>
        </is>
      </c>
      <c r="D12" s="39" t="inlineStr">
        <is>
          <t>Apache Kafka, Confluent Platform, Debezium, ksqlDB</t>
        </is>
      </c>
      <c r="E12" s="39" t="inlineStr">
        <is>
          <t>Claude: Kafka konfiguráció és consumer kód generálás; streaming pipeline tervezés</t>
        </is>
      </c>
      <c r="F12" s="39" t="inlineStr">
        <is>
          <t>Confluent Certified Developer for Apache Kafka (opcionális)</t>
        </is>
      </c>
      <c r="G12" s="39" t="inlineStr">
        <is>
          <t>Középszint</t>
        </is>
      </c>
      <c r="H12" s="39" t="inlineStr">
        <is>
          <t>Confluent Cloud free tier elérhető. Kb. 24 óra.</t>
        </is>
      </c>
      <c r="I12" s="39" t="inlineStr">
        <is>
          <t>NobleProg / HWSW</t>
        </is>
      </c>
      <c r="J12" s="40" t="n">
        <v>250000</v>
      </c>
      <c r="K12" s="40" t="n">
        <v>57000</v>
      </c>
      <c r="L12" s="41">
        <f>J12+K12</f>
        <v/>
      </c>
      <c r="M12" s="39" t="inlineStr">
        <is>
          <t>2026 H1</t>
        </is>
      </c>
    </row>
    <row r="13">
      <c r="A13" s="70" t="n">
        <v>8</v>
      </c>
      <c r="B13" s="39" t="inlineStr">
        <is>
          <t>Adatminőség és governance</t>
        </is>
      </c>
      <c r="C13" s="39" t="inlineStr">
        <is>
          <t>Data governance keretrendszer: adatkatalógus, data lineage, metadata; adatminőségi dimenziók; Great Expectations / Soda: automatizált validáció; GDPR; master data management; data mesh bevezető</t>
        </is>
      </c>
      <c r="D13" s="39" t="inlineStr">
        <is>
          <t>Great Expectations, Soda, Apache Atlas, Confluence</t>
        </is>
      </c>
      <c r="E13" s="39" t="inlineStr">
        <is>
          <t>Claude: adatminőségi szabályok generálása üzleti kontextusból</t>
        </is>
      </c>
      <c r="F13" s="39" t="inlineStr">
        <is>
          <t>DAMA CDMP Foundation (opcionális)</t>
        </is>
      </c>
      <c r="G13" s="39" t="inlineStr">
        <is>
          <t>Középszint</t>
        </is>
      </c>
      <c r="H13" s="39" t="inlineStr">
        <is>
          <t>Great Expectations open source. Kb. 16–20 óra.</t>
        </is>
      </c>
      <c r="I13" s="39" t="inlineStr">
        <is>
          <t>Training360 / NobleProg</t>
        </is>
      </c>
      <c r="J13" s="40" t="n">
        <v>180000</v>
      </c>
      <c r="K13" s="40" t="n">
        <v>0</v>
      </c>
      <c r="L13" s="41">
        <f>J13+K13</f>
        <v/>
      </c>
      <c r="M13" s="39" t="inlineStr">
        <is>
          <t>2026 H1</t>
        </is>
      </c>
    </row>
    <row r="14">
      <c r="A14" s="71" t="inlineStr">
        <is>
          <t>HALADÓ SZINT  |  Expert / Lead  —  Mester szint (3+ év tapasztalat)</t>
        </is>
      </c>
      <c r="B14" s="60" t="n"/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  <c r="L14" s="60" t="n"/>
      <c r="M14" s="61" t="n"/>
    </row>
    <row r="15">
      <c r="A15" s="73" t="n">
        <v>9</v>
      </c>
      <c r="B15" s="42" t="inlineStr">
        <is>
          <t>MLOps és adatplatform architektúra</t>
        </is>
      </c>
      <c r="C15" s="42" t="inlineStr">
        <is>
          <t>ML pipeline: feature store, model registry, experiment tracking (MLflow); model serving; adatplatform architektúra: lakehouse, data mesh; DataOps; monitoring: data drift, model drift; költségoptimalizálás</t>
        </is>
      </c>
      <c r="D15" s="42" t="inlineStr">
        <is>
          <t>MLflow, Kubeflow, Airflow, Terraform, Kubernetes</t>
        </is>
      </c>
      <c r="E15" s="42" t="inlineStr">
        <is>
          <t>Claude: MLOps pipeline tervezés és IaC generálás</t>
        </is>
      </c>
      <c r="F15" s="42" t="inlineStr">
        <is>
          <t>Google Professional Data Engineer VAGY AWS Data Engineer Associate</t>
        </is>
      </c>
      <c r="G15" s="42" t="inlineStr">
        <is>
          <t>Haladó szint</t>
        </is>
      </c>
      <c r="H15" s="42" t="inlineStr">
        <is>
          <t>Terraform és Kubernetes ismeretek előfeltétel. Kb. 40+ óra.</t>
        </is>
      </c>
      <c r="I15" s="42" t="inlineStr">
        <is>
          <t>NobleProg / CUBIX</t>
        </is>
      </c>
      <c r="J15" s="43" t="n">
        <v>350000</v>
      </c>
      <c r="K15" s="43" t="n">
        <v>76000</v>
      </c>
      <c r="L15" s="44">
        <f>J15+K15</f>
        <v/>
      </c>
      <c r="M15" s="42" t="inlineStr">
        <is>
          <t>2026 H2</t>
        </is>
      </c>
    </row>
    <row r="16">
      <c r="A16" s="73" t="n">
        <v>10</v>
      </c>
      <c r="B16" s="42" t="inlineStr">
        <is>
          <t>Haladó analitika és AI integráció</t>
        </is>
      </c>
      <c r="C16" s="42" t="inlineStr">
        <is>
          <t>Statisztikai modellezés: regresszió, klasszifikáció, clustering; time series; A/B tesztelés; LLM integráció: NL2SQL, automatikus insight; RAG adatanalitikához; AI anomália detektálás</t>
        </is>
      </c>
      <c r="D16" s="42" t="inlineStr">
        <is>
          <t>Python (scikit-learn, statsmodels), Power BI, Jupyter, LangChain</t>
        </is>
      </c>
      <c r="E16" s="42" t="inlineStr">
        <is>
          <t>Claude: statisztikai modell választás; NL2SQL implementáció; AI riport generálás</t>
        </is>
      </c>
      <c r="F16" s="42" t="inlineStr">
        <is>
          <t>Belső Advanced Analytics workshop + AI analitikai POC</t>
        </is>
      </c>
      <c r="G16" s="42" t="inlineStr">
        <is>
          <t>Haladó szint</t>
        </is>
      </c>
      <c r="H16" s="42" t="inlineStr">
        <is>
          <t>Python ML alapok előfeltétel. Kb. 30–40 óra.</t>
        </is>
      </c>
      <c r="I16" s="42" t="inlineStr">
        <is>
          <t>CUBIX / NobleProg</t>
        </is>
      </c>
      <c r="J16" s="43" t="n">
        <v>280000</v>
      </c>
      <c r="K16" s="43" t="n">
        <v>0</v>
      </c>
      <c r="L16" s="44">
        <f>J16+K16</f>
        <v/>
      </c>
      <c r="M16" s="42" t="inlineStr">
        <is>
          <t>2026 H2</t>
        </is>
      </c>
    </row>
    <row r="17">
      <c r="A17" s="73" t="n">
        <v>11</v>
      </c>
      <c r="B17" s="42" t="inlineStr">
        <is>
          <t>Data leadership és stratégia</t>
        </is>
      </c>
      <c r="C17" s="42" t="inlineStr">
        <is>
          <t>Adatstratégia: adatérettségi modell, data-driven kultúra; CDO szerepkör; adatvagyon értékelés; data monetizáció; data ethics; adatszabályozás (GDPR, Data Act, AI Act); data team felépítése</t>
        </is>
      </c>
      <c r="D17" s="42" t="inlineStr">
        <is>
          <t>Confluence, Power BI, Miro</t>
        </is>
      </c>
      <c r="E17" s="42" t="inlineStr">
        <is>
          <t>Claude: adatstratégia dokumentum tervezet; data maturity assessment</t>
        </is>
      </c>
      <c r="F17" s="42" t="inlineStr">
        <is>
          <t>DAMA CDMP Practitioner VAGY belső Data Leadership program</t>
        </is>
      </c>
      <c r="G17" s="42" t="inlineStr">
        <is>
          <t>Haladó szint</t>
        </is>
      </c>
      <c r="H17" s="42" t="inlineStr">
        <is>
          <t>CDO szintű stratégiai gondolkodás. Kb. 20+ óra.</t>
        </is>
      </c>
      <c r="I17" s="42" t="inlineStr">
        <is>
          <t>Training360 / Belső</t>
        </is>
      </c>
      <c r="J17" s="43" t="n">
        <v>200000</v>
      </c>
      <c r="K17" s="43" t="n">
        <v>76000</v>
      </c>
      <c r="L17" s="44">
        <f>J17+K17</f>
        <v/>
      </c>
      <c r="M17" s="42" t="inlineStr">
        <is>
          <t>2026 H2</t>
        </is>
      </c>
    </row>
    <row r="18">
      <c r="A18" s="48" t="n"/>
      <c r="B18" s="49" t="inlineStr">
        <is>
          <t>Alapszint összesen</t>
        </is>
      </c>
      <c r="C18" s="48" t="n"/>
      <c r="D18" s="48" t="n"/>
      <c r="E18" s="48" t="n"/>
      <c r="F18" s="48" t="n"/>
      <c r="G18" s="48" t="n"/>
      <c r="H18" s="48" t="n"/>
      <c r="I18" s="48" t="n"/>
      <c r="J18" s="50">
        <f>SUM(J5:J8)</f>
        <v/>
      </c>
      <c r="K18" s="50">
        <f>SUM(K5:K8)</f>
        <v/>
      </c>
      <c r="L18" s="50">
        <f>SUM(L5:L8)</f>
        <v/>
      </c>
      <c r="M18" s="48" t="n"/>
    </row>
    <row r="19">
      <c r="A19" s="51" t="n"/>
      <c r="B19" s="52" t="inlineStr">
        <is>
          <t>Középszint összesen</t>
        </is>
      </c>
      <c r="C19" s="51" t="n"/>
      <c r="D19" s="51" t="n"/>
      <c r="E19" s="51" t="n"/>
      <c r="F19" s="51" t="n"/>
      <c r="G19" s="51" t="n"/>
      <c r="H19" s="51" t="n"/>
      <c r="I19" s="51" t="n"/>
      <c r="J19" s="53">
        <f>SUM(J10:J13)</f>
        <v/>
      </c>
      <c r="K19" s="53">
        <f>SUM(K10:K13)</f>
        <v/>
      </c>
      <c r="L19" s="53">
        <f>SUM(L10:L13)</f>
        <v/>
      </c>
      <c r="M19" s="51" t="n"/>
    </row>
    <row r="20">
      <c r="A20" s="54" t="n"/>
      <c r="B20" s="55" t="inlineStr">
        <is>
          <t>Haladó szint összesen</t>
        </is>
      </c>
      <c r="C20" s="54" t="n"/>
      <c r="D20" s="54" t="n"/>
      <c r="E20" s="54" t="n"/>
      <c r="F20" s="54" t="n"/>
      <c r="G20" s="54" t="n"/>
      <c r="H20" s="54" t="n"/>
      <c r="I20" s="54" t="n"/>
      <c r="J20" s="56">
        <f>SUM(J15:J17)</f>
        <v/>
      </c>
      <c r="K20" s="56">
        <f>SUM(K15:K17)</f>
        <v/>
      </c>
      <c r="L20" s="56">
        <f>SUM(L15:L17)</f>
        <v/>
      </c>
      <c r="M20" s="54" t="n"/>
    </row>
    <row r="21">
      <c r="A21" s="57" t="n"/>
      <c r="B21" s="58" t="inlineStr">
        <is>
          <t>TELJES ÚTVONAL ÖSSZESEN</t>
        </is>
      </c>
      <c r="C21" s="57" t="n"/>
      <c r="D21" s="57" t="n"/>
      <c r="E21" s="57" t="n"/>
      <c r="F21" s="57" t="n"/>
      <c r="G21" s="57" t="n"/>
      <c r="H21" s="57" t="n"/>
      <c r="I21" s="57" t="n"/>
      <c r="J21" s="59">
        <f>J18+J19+J20</f>
        <v/>
      </c>
      <c r="K21" s="59">
        <f>K18+K19+K20</f>
        <v/>
      </c>
      <c r="L21" s="59">
        <f>L18+L19+L20</f>
        <v/>
      </c>
      <c r="M21" s="57" t="n"/>
    </row>
  </sheetData>
  <mergeCells count="5">
    <mergeCell ref="A14:M14"/>
    <mergeCell ref="A1:M1"/>
    <mergeCell ref="A9:M9"/>
    <mergeCell ref="A4:M4"/>
    <mergeCell ref="A2:M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2E75B6"/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style="20" min="1" max="1"/>
    <col width="28" customWidth="1" style="20" min="2" max="2"/>
    <col width="58" customWidth="1" style="20" min="3" max="3"/>
    <col width="32" customWidth="1" style="20" min="4" max="4"/>
    <col width="48" customWidth="1" style="20" min="5" max="5"/>
    <col width="37" customWidth="1" style="20" min="6" max="6"/>
    <col width="14" customWidth="1" style="20" min="7" max="7"/>
    <col width="30" customWidth="1" style="20" min="8" max="8"/>
    <col width="30" customWidth="1" style="20" min="9" max="9"/>
    <col width="20" customWidth="1" style="20" min="10" max="10"/>
    <col width="20" customWidth="1" style="20" min="11" max="11"/>
    <col width="22" customWidth="1" style="20" min="12" max="12"/>
    <col width="16" customWidth="1" style="20" min="13" max="13"/>
  </cols>
  <sheetData>
    <row r="1">
      <c r="A1" s="62" t="inlineStr">
        <is>
          <t>Cybersecurity Specialist  —  Kiberbiztonsági Szakértő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1" t="n"/>
    </row>
    <row r="2">
      <c r="A2" s="64" t="inlineStr">
        <is>
          <t>A szervezet digitális védelmezője. DORA, NIS2 és kiberfenyegetések kezelése, ethical hacking, SOC analyst feladatok.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1" t="n"/>
    </row>
    <row r="3">
      <c r="A3" s="30" t="inlineStr">
        <is>
          <t>#</t>
        </is>
      </c>
      <c r="B3" s="30" t="inlineStr">
        <is>
          <t>Képzési terület</t>
        </is>
      </c>
      <c r="C3" s="30" t="inlineStr">
        <is>
          <t>Képzési tartalom</t>
        </is>
      </c>
      <c r="D3" s="30" t="inlineStr">
        <is>
          <t>Eszköz / Platform</t>
        </is>
      </c>
      <c r="E3" s="30" t="inlineStr">
        <is>
          <t>AI lehetőség</t>
        </is>
      </c>
      <c r="F3" s="30" t="inlineStr">
        <is>
          <t>Bizonyítvány / Kimenet</t>
        </is>
      </c>
      <c r="G3" s="30" t="inlineStr">
        <is>
          <t>Szint</t>
        </is>
      </c>
      <c r="H3" s="30" t="inlineStr">
        <is>
          <t>Megjegyzés</t>
        </is>
      </c>
      <c r="I3" s="30" t="inlineStr">
        <is>
          <t>Képzőhely / Provider</t>
        </is>
      </c>
      <c r="J3" s="30" t="inlineStr">
        <is>
          <t>Képzési díj (nettó Ft)</t>
        </is>
      </c>
      <c r="K3" s="30" t="inlineStr">
        <is>
          <t>Vizsgadíj (nettó Ft)</t>
        </is>
      </c>
      <c r="L3" s="30" t="inlineStr">
        <is>
          <t>Össz. költség/fő (Ft)</t>
        </is>
      </c>
      <c r="M3" s="30" t="inlineStr">
        <is>
          <t>Javasolt félév</t>
        </is>
      </c>
    </row>
    <row r="4">
      <c r="A4" s="65" t="inlineStr">
        <is>
          <t>ALAPSZINT  |  Foundation  —  Belépő szint (0–1 év tapasztalat)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1" t="n"/>
    </row>
    <row r="5">
      <c r="A5" s="67" t="n">
        <v>1</v>
      </c>
      <c r="B5" s="36" t="inlineStr">
        <is>
          <t>Kiberbiztonsági alapok</t>
        </is>
      </c>
      <c r="C5" s="36" t="inlineStr">
        <is>
          <t>IT biztonság: CIA triád, AAA; hálózatbiztonság: tűzfal, IDS/IPS, VPN; végpontvédelem: EDR; OWASP Top 10; malware típusok; social engineering, phishing; MFA; biztonsági incidensek felismerése</t>
        </is>
      </c>
      <c r="D5" s="36" t="inlineStr">
        <is>
          <t>Belső e-learning, CyberArk, KnowBe4, DVWA</t>
        </is>
      </c>
      <c r="E5" s="36" t="inlineStr">
        <is>
          <t>KnowBe4 AI phishing szimulációk; Claude: biztonsági fogalmak és kvíz generálás</t>
        </is>
      </c>
      <c r="F5" s="36" t="inlineStr">
        <is>
          <t>CompTIA Security+ VAGY belső IT Security Foundation</t>
        </is>
      </c>
      <c r="G5" s="36" t="inlineStr">
        <is>
          <t>Alapszint</t>
        </is>
      </c>
      <c r="H5" s="36" t="inlineStr">
        <is>
          <t>CompTIA Security+ globálisan elismert. Kb. 24–32 óra.</t>
        </is>
      </c>
      <c r="I5" s="36" t="inlineStr">
        <is>
          <t>Training360 / Masterfield</t>
        </is>
      </c>
      <c r="J5" s="37" t="n">
        <v>200000</v>
      </c>
      <c r="K5" s="37" t="n">
        <v>133000</v>
      </c>
      <c r="L5" s="38">
        <f>J5+K5</f>
        <v/>
      </c>
      <c r="M5" s="36" t="inlineStr">
        <is>
          <t>2025 H2</t>
        </is>
      </c>
    </row>
    <row r="6">
      <c r="A6" s="67" t="n">
        <v>2</v>
      </c>
      <c r="B6" s="36" t="inlineStr">
        <is>
          <t>Hálózatbiztonság és monitoring</t>
        </is>
      </c>
      <c r="C6" s="36" t="inlineStr">
        <is>
          <t>Hálózati protokollok biztonsági szempontból; Wireshark forgalom elemzés; SIEM bevezető: log gyűjtés, korreláció; SOC működése; naplózás és audit trail; vulnerability scanning (Nessus, OpenVAS)</t>
        </is>
      </c>
      <c r="D6" s="36" t="inlineStr">
        <is>
          <t>Wireshark, Splunk (free), ELK Stack, Nessus Essentials</t>
        </is>
      </c>
      <c r="E6" s="36" t="inlineStr">
        <is>
          <t>AI anomália detektálás SIEM-ben; Claude: log elemzés és biztonsági esemény értelmezés</t>
        </is>
      </c>
      <c r="F6" s="36" t="inlineStr">
        <is>
          <t>Belső SOC awareness + Splunk Fundamentals badge</t>
        </is>
      </c>
      <c r="G6" s="36" t="inlineStr">
        <is>
          <t>Alapszint</t>
        </is>
      </c>
      <c r="H6" s="36" t="inlineStr">
        <is>
          <t>Wireshark és Splunk free verziók elérhetők. Kb. 20 óra.</t>
        </is>
      </c>
      <c r="I6" s="36" t="inlineStr">
        <is>
          <t>Training360 / KÜRT Akadémia</t>
        </is>
      </c>
      <c r="J6" s="37" t="n">
        <v>180000</v>
      </c>
      <c r="K6" s="37" t="n">
        <v>0</v>
      </c>
      <c r="L6" s="38">
        <f>J6+K6</f>
        <v/>
      </c>
      <c r="M6" s="36" t="inlineStr">
        <is>
          <t>2025 H2</t>
        </is>
      </c>
    </row>
    <row r="7">
      <c r="A7" s="67" t="n">
        <v>3</v>
      </c>
      <c r="B7" s="36" t="inlineStr">
        <is>
          <t>GDPR és NIS2 compliance</t>
        </is>
      </c>
      <c r="C7" s="36" t="inlineStr">
        <is>
          <t>GDPR: jogalapok, érintetti jogok, DPIA, adatvédelmi incidens; NIS2: hatály, biztonsági követelmények, incidensjelentés; ROPA; DPO szerepe; belső audit; bírságok és szankciók</t>
        </is>
      </c>
      <c r="D7" s="36" t="inlineStr">
        <is>
          <t>OneTrust, Confluence, belső GRC platform</t>
        </is>
      </c>
      <c r="E7" s="36" t="inlineStr">
        <is>
          <t>Claude: GDPR compliance checklist és DPIA tervezet; NIS2 gap analízis</t>
        </is>
      </c>
      <c r="F7" s="36" t="inlineStr">
        <is>
          <t>CIPP/E (IAPP) bevezető VAGY belső GDPR &amp; NIS2 awareness</t>
        </is>
      </c>
      <c r="G7" s="36" t="inlineStr">
        <is>
          <t>Alapszint</t>
        </is>
      </c>
      <c r="H7" s="36" t="inlineStr">
        <is>
          <t>NIS2 2025-től hatályos. Kb. 12 óra.</t>
        </is>
      </c>
      <c r="I7" s="36" t="inlineStr">
        <is>
          <t>KÜRT Akadémia / Training360</t>
        </is>
      </c>
      <c r="J7" s="37" t="n">
        <v>150000</v>
      </c>
      <c r="K7" s="37" t="n">
        <v>0</v>
      </c>
      <c r="L7" s="38">
        <f>J7+K7</f>
        <v/>
      </c>
      <c r="M7" s="36" t="inlineStr">
        <is>
          <t>2025 H2</t>
        </is>
      </c>
    </row>
    <row r="8">
      <c r="A8" s="67" t="n">
        <v>4</v>
      </c>
      <c r="B8" s="36" t="inlineStr">
        <is>
          <t>Biztonsági szabványok (ISO 27001)</t>
        </is>
      </c>
      <c r="C8" s="36" t="inlineStr">
        <is>
          <t>ISO/IEC 27001:2022: ISMS keretrendszer, Annex A kontrollok; kockázatértékelés ISO 27005; SoA; belső audit; tanúsítási folyamat; PDCA; ISO 27002 kontroll implementáció</t>
        </is>
      </c>
      <c r="D8" s="36" t="inlineStr">
        <is>
          <t>ISO 27001 szabvány, Confluence, belső GRC platform</t>
        </is>
      </c>
      <c r="E8" s="36" t="inlineStr">
        <is>
          <t>Claude: ISO 27001 kontroll implementáció javaslat; gap analízis; SoA tervezet</t>
        </is>
      </c>
      <c r="F8" s="36" t="inlineStr">
        <is>
          <t>ISO 27001 Foundation (BSI/PECB) – 40 kérdés, 70% átmenő</t>
        </is>
      </c>
      <c r="G8" s="36" t="inlineStr">
        <is>
          <t>Alapszint</t>
        </is>
      </c>
      <c r="H8" s="36" t="inlineStr">
        <is>
          <t>ISO 27001:2022 frissített verzió. Kb. 16–24 óra.</t>
        </is>
      </c>
      <c r="I8" s="36" t="inlineStr">
        <is>
          <t>euzert.hu / KÜRT Akadémia</t>
        </is>
      </c>
      <c r="J8" s="37" t="n">
        <v>200000</v>
      </c>
      <c r="K8" s="37" t="n">
        <v>190000</v>
      </c>
      <c r="L8" s="38">
        <f>J8+K8</f>
        <v/>
      </c>
      <c r="M8" s="36" t="inlineStr">
        <is>
          <t>2025 H2</t>
        </is>
      </c>
    </row>
    <row r="9">
      <c r="A9" s="68" t="inlineStr">
        <is>
          <t>KÖZÉPSZINT  |  Practitioner  —  Fejlesztő szint (1–3 év tapasztalat)</t>
        </is>
      </c>
      <c r="B9" s="60" t="n"/>
      <c r="C9" s="60" t="n"/>
      <c r="D9" s="60" t="n"/>
      <c r="E9" s="60" t="n"/>
      <c r="F9" s="60" t="n"/>
      <c r="G9" s="60" t="n"/>
      <c r="H9" s="60" t="n"/>
      <c r="I9" s="60" t="n"/>
      <c r="J9" s="60" t="n"/>
      <c r="K9" s="60" t="n"/>
      <c r="L9" s="60" t="n"/>
      <c r="M9" s="61" t="n"/>
    </row>
    <row r="10">
      <c r="A10" s="70" t="n">
        <v>5</v>
      </c>
      <c r="B10" s="39" t="inlineStr">
        <is>
          <t>Ethical hacking és penetration testing</t>
        </is>
      </c>
      <c r="C10" s="39" t="inlineStr">
        <is>
          <t>Ethical hacking: reconnaissance, scanning, exploitation, reporting; Kali Linux: Nmap, Burp Suite, Metasploit; web application pentesting (OWASP); network pentesting; CTF gyakorlatok</t>
        </is>
      </c>
      <c r="D10" s="39" t="inlineStr">
        <is>
          <t>Kali Linux, Burp Suite, Metasploit, HackTheBox, TryHackMe</t>
        </is>
      </c>
      <c r="E10" s="39" t="inlineStr">
        <is>
          <t>AI vulnerability assessment; Claude: pentest report és finding leírás</t>
        </is>
      </c>
      <c r="F10" s="39" t="inlineStr">
        <is>
          <t>CEH (Certified Ethical Hacker) VAGY eJPT</t>
        </is>
      </c>
      <c r="G10" s="39" t="inlineStr">
        <is>
          <t>Középszint</t>
        </is>
      </c>
      <c r="H10" s="39" t="inlineStr">
        <is>
          <t>HackTheBox és TryHackMe ajánlottak. Kb. 40–60 óra.</t>
        </is>
      </c>
      <c r="I10" s="39" t="inlineStr">
        <is>
          <t>Training360 / KÜRT Akadémia</t>
        </is>
      </c>
      <c r="J10" s="40" t="n">
        <v>350000</v>
      </c>
      <c r="K10" s="40" t="n">
        <v>133000</v>
      </c>
      <c r="L10" s="41">
        <f>J10+K10</f>
        <v/>
      </c>
      <c r="M10" s="39" t="inlineStr">
        <is>
          <t>2026 H1</t>
        </is>
      </c>
    </row>
    <row r="11">
      <c r="A11" s="70" t="n">
        <v>6</v>
      </c>
      <c r="B11" s="39" t="inlineStr">
        <is>
          <t>SOC analyst és incidenskezelés</t>
        </is>
      </c>
      <c r="C11" s="39" t="inlineStr">
        <is>
          <t>SOC L1/L2: triage, investigation, escalation; SIEM haladó: Splunk SPL, correlation rules; SOAR; incidenskezelés (NIST SP 800-61); forensics alapok; malware analízis bevezető</t>
        </is>
      </c>
      <c r="D11" s="39" t="inlineStr">
        <is>
          <t>Splunk Enterprise Security, XSOAR, TheHive, MITRE ATT&amp;CK</t>
        </is>
      </c>
      <c r="E11" s="39" t="inlineStr">
        <is>
          <t>AI threat detection és automated triage; Claude: incident timeline elemzés</t>
        </is>
      </c>
      <c r="F11" s="39" t="inlineStr">
        <is>
          <t>Splunk Core Certified Power User VAGY CompTIA CySA+</t>
        </is>
      </c>
      <c r="G11" s="39" t="inlineStr">
        <is>
          <t>Középszint</t>
        </is>
      </c>
      <c r="H11" s="39" t="inlineStr">
        <is>
          <t>MITRE ATT&amp;CK framework kulcsfontosságú. Kb. 30–40 óra.</t>
        </is>
      </c>
      <c r="I11" s="39" t="inlineStr">
        <is>
          <t>KÜRT Akadémia / Training360</t>
        </is>
      </c>
      <c r="J11" s="40" t="n">
        <v>300000</v>
      </c>
      <c r="K11" s="40" t="n">
        <v>133000</v>
      </c>
      <c r="L11" s="41">
        <f>J11+K11</f>
        <v/>
      </c>
      <c r="M11" s="39" t="inlineStr">
        <is>
          <t>2026 H1</t>
        </is>
      </c>
    </row>
    <row r="12">
      <c r="A12" s="70" t="n">
        <v>7</v>
      </c>
      <c r="B12" s="39" t="inlineStr">
        <is>
          <t>Cloud biztonság</t>
        </is>
      </c>
      <c r="C12" s="39" t="inlineStr">
        <is>
          <t>Cloud security: shared responsibility; Azure Defender for Cloud; AWS Security Hub, GuardDuty; IAM best practices; container/K8s security; CSPM, CWPP; cloud forensics; CIS Benchmarks</t>
        </is>
      </c>
      <c r="D12" s="39" t="inlineStr">
        <is>
          <t>Azure Defender, AWS Security Hub, Prisma Cloud</t>
        </is>
      </c>
      <c r="E12" s="39" t="inlineStr">
        <is>
          <t>AI cloud security posture monitoring; Claude: CIS Benchmark gap analízis</t>
        </is>
      </c>
      <c r="F12" s="39" t="inlineStr">
        <is>
          <t>Azure Security Engineer (AZ-500) VAGY AWS Security Specialty</t>
        </is>
      </c>
      <c r="G12" s="39" t="inlineStr">
        <is>
          <t>Középszint</t>
        </is>
      </c>
      <c r="H12" s="39" t="inlineStr">
        <is>
          <t>Azure vagy AWS security cert ajánlott. Kb. 30–40 óra.</t>
        </is>
      </c>
      <c r="I12" s="39" t="inlineStr">
        <is>
          <t>Masterfield / euzert.hu</t>
        </is>
      </c>
      <c r="J12" s="40" t="n">
        <v>250000</v>
      </c>
      <c r="K12" s="40" t="n">
        <v>62700</v>
      </c>
      <c r="L12" s="41">
        <f>J12+K12</f>
        <v/>
      </c>
      <c r="M12" s="39" t="inlineStr">
        <is>
          <t>2026 H1</t>
        </is>
      </c>
    </row>
    <row r="13">
      <c r="A13" s="70" t="n">
        <v>8</v>
      </c>
      <c r="B13" s="39" t="inlineStr">
        <is>
          <t>DORA és szabályozói kiberbiztonság</t>
        </is>
      </c>
      <c r="C13" s="39" t="inlineStr">
        <is>
          <t>DORA: 5 pillér, ICT kockázatkezelés, incidensjelentés, TLPT, harmadik fél kockázat; NIS2 implementáció; kiberbiztonsági audit; TIBER-EU/TLPT; szabályozói reporting</t>
        </is>
      </c>
      <c r="D13" s="39" t="inlineStr">
        <is>
          <t>Belső GRC platform, ENISA guidance, EBA útmutatók</t>
        </is>
      </c>
      <c r="E13" s="39" t="inlineStr">
        <is>
          <t>Claude: DORA gap analízis és compliance roadmap; AI regulatory change monitoring</t>
        </is>
      </c>
      <c r="F13" s="39" t="inlineStr">
        <is>
          <t>DORA specialista belső képzés + CRISC/CISM felkészítő</t>
        </is>
      </c>
      <c r="G13" s="39" t="inlineStr">
        <is>
          <t>Középszint</t>
        </is>
      </c>
      <c r="H13" s="39" t="inlineStr">
        <is>
          <t>DORA 2025. jan. 17-től hatályos. Kb. 20–24 óra.</t>
        </is>
      </c>
      <c r="I13" s="39" t="inlineStr">
        <is>
          <t>KÜRT Akadémia / ISACA Budapest</t>
        </is>
      </c>
      <c r="J13" s="40" t="n">
        <v>250000</v>
      </c>
      <c r="K13" s="40" t="n">
        <v>0</v>
      </c>
      <c r="L13" s="41">
        <f>J13+K13</f>
        <v/>
      </c>
      <c r="M13" s="39" t="inlineStr">
        <is>
          <t>2026 H1</t>
        </is>
      </c>
    </row>
    <row r="14">
      <c r="A14" s="71" t="inlineStr">
        <is>
          <t>HALADÓ SZINT  |  Expert / Lead  —  Mester szint (3+ év tapasztalat)</t>
        </is>
      </c>
      <c r="B14" s="60" t="n"/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  <c r="L14" s="60" t="n"/>
      <c r="M14" s="61" t="n"/>
    </row>
    <row r="15">
      <c r="A15" s="73" t="n">
        <v>9</v>
      </c>
      <c r="B15" s="42" t="inlineStr">
        <is>
          <t>Advanced threat hunting és red teaming</t>
        </is>
      </c>
      <c r="C15" s="42" t="inlineStr">
        <is>
          <t>Proaktív threat hunting; MITRE ATT&amp;CK navigator; red/blue/purple team; adversary simulation; C2 framework-ök ismerete; OSINT; threat intelligence (MISP, OpenCTI); APT csoportok és TTP-k</t>
        </is>
      </c>
      <c r="D15" s="42" t="inlineStr">
        <is>
          <t>MITRE ATT&amp;CK, Cobalt Strike, Sliver, MISP, Elastic Security</t>
        </is>
      </c>
      <c r="E15" s="42" t="inlineStr">
        <is>
          <t>AI threat hunting: ML anomália detektálás; Claude: TTP elemzés és hunting hypothesis</t>
        </is>
      </c>
      <c r="F15" s="42" t="inlineStr">
        <is>
          <t>GIAC GCIH VAGY OSCP (Offensive Security Certified Professional)</t>
        </is>
      </c>
      <c r="G15" s="42" t="inlineStr">
        <is>
          <t>Haladó szint</t>
        </is>
      </c>
      <c r="H15" s="42" t="inlineStr">
        <is>
          <t>OSCP hands-on 24 órás vizsga. Kb. 80+ óra.</t>
        </is>
      </c>
      <c r="I15" s="42" t="inlineStr">
        <is>
          <t>KÜRT Akadémia / SANS (online)</t>
        </is>
      </c>
      <c r="J15" s="43" t="n">
        <v>500000</v>
      </c>
      <c r="K15" s="43" t="n">
        <v>285000</v>
      </c>
      <c r="L15" s="44">
        <f>J15+K15</f>
        <v/>
      </c>
      <c r="M15" s="42" t="inlineStr">
        <is>
          <t>2026 H2</t>
        </is>
      </c>
    </row>
    <row r="16">
      <c r="A16" s="73" t="n">
        <v>10</v>
      </c>
      <c r="B16" s="42" t="inlineStr">
        <is>
          <t>AI biztonság és ISO 42001</t>
        </is>
      </c>
      <c r="C16" s="42" t="inlineStr">
        <is>
          <t>AI rendszerek biztonsága: prompt injection, model poisoning, data leakage; OWASP LLM Top 10; AI red-teaming (Garak, PyRIT); ISO 42001; EU AI Act; AI governance; responsible AI</t>
        </is>
      </c>
      <c r="D16" s="42" t="inlineStr">
        <is>
          <t>Garak, PyRIT, OWASP LLM Top 10, ISO 42001</t>
        </is>
      </c>
      <c r="E16" s="42" t="inlineStr">
        <is>
          <t>Garak és PyRIT red-teaming; Claude: AI policy gap elemzés; AI audit checklist</t>
        </is>
      </c>
      <c r="F16" s="42" t="inlineStr">
        <is>
          <t>ISO 42001 Foundation (PECB) + belső AI Security workshop</t>
        </is>
      </c>
      <c r="G16" s="42" t="inlineStr">
        <is>
          <t>Haladó szint</t>
        </is>
      </c>
      <c r="H16" s="42" t="inlineStr">
        <is>
          <t>EU AI Act 2026-tól teljes körű. Kb. 20–30 óra.</t>
        </is>
      </c>
      <c r="I16" s="42" t="inlineStr">
        <is>
          <t>euzert.hu / KÜRT Akadémia</t>
        </is>
      </c>
      <c r="J16" s="43" t="n">
        <v>300000</v>
      </c>
      <c r="K16" s="43" t="n">
        <v>152000</v>
      </c>
      <c r="L16" s="44">
        <f>J16+K16</f>
        <v/>
      </c>
      <c r="M16" s="42" t="inlineStr">
        <is>
          <t>2026 H2</t>
        </is>
      </c>
    </row>
    <row r="17">
      <c r="A17" s="73" t="n">
        <v>11</v>
      </c>
      <c r="B17" s="42" t="inlineStr">
        <is>
          <t>Kiberbiztonsági leadership</t>
        </is>
      </c>
      <c r="C17" s="42" t="inlineStr">
        <is>
          <t>CISO szerepkör; biztonsági stratégia; security budget és ROI; biztonsági kultúra; board kommunikáció; security metrics; vendor risk management; BCP/DRP; kiberbiztosítás</t>
        </is>
      </c>
      <c r="D17" s="42" t="inlineStr">
        <is>
          <t>Power BI, Confluence, Miro, belső GRC platform</t>
        </is>
      </c>
      <c r="E17" s="42" t="inlineStr">
        <is>
          <t>AI security dashboard és executive reporting; Claude: biztonsági stratégia tervezet</t>
        </is>
      </c>
      <c r="F17" s="42" t="inlineStr">
        <is>
          <t>CISM (ISACA) VAGY CISSP (ISC²)</t>
        </is>
      </c>
      <c r="G17" s="42" t="inlineStr">
        <is>
          <t>Haladó szint</t>
        </is>
      </c>
      <c r="H17" s="42" t="inlineStr">
        <is>
          <t>CISM/CISSP top-level cert. 5+ év tapasztalat. Kb. 80+ óra.</t>
        </is>
      </c>
      <c r="I17" s="42" t="inlineStr">
        <is>
          <t>ISACA Budapest / Training360</t>
        </is>
      </c>
      <c r="J17" s="43" t="n">
        <v>345000</v>
      </c>
      <c r="K17" s="43" t="n">
        <v>218500</v>
      </c>
      <c r="L17" s="44">
        <f>J17+K17</f>
        <v/>
      </c>
      <c r="M17" s="42" t="inlineStr">
        <is>
          <t>2026 H2</t>
        </is>
      </c>
    </row>
    <row r="18">
      <c r="A18" s="48" t="n"/>
      <c r="B18" s="49" t="inlineStr">
        <is>
          <t>Alapszint összesen</t>
        </is>
      </c>
      <c r="C18" s="48" t="n"/>
      <c r="D18" s="48" t="n"/>
      <c r="E18" s="48" t="n"/>
      <c r="F18" s="48" t="n"/>
      <c r="G18" s="48" t="n"/>
      <c r="H18" s="48" t="n"/>
      <c r="I18" s="48" t="n"/>
      <c r="J18" s="50">
        <f>SUM(J5:J8)</f>
        <v/>
      </c>
      <c r="K18" s="50">
        <f>SUM(K5:K8)</f>
        <v/>
      </c>
      <c r="L18" s="50">
        <f>SUM(L5:L8)</f>
        <v/>
      </c>
      <c r="M18" s="48" t="n"/>
    </row>
    <row r="19">
      <c r="A19" s="51" t="n"/>
      <c r="B19" s="52" t="inlineStr">
        <is>
          <t>Középszint összesen</t>
        </is>
      </c>
      <c r="C19" s="51" t="n"/>
      <c r="D19" s="51" t="n"/>
      <c r="E19" s="51" t="n"/>
      <c r="F19" s="51" t="n"/>
      <c r="G19" s="51" t="n"/>
      <c r="H19" s="51" t="n"/>
      <c r="I19" s="51" t="n"/>
      <c r="J19" s="53">
        <f>SUM(J10:J13)</f>
        <v/>
      </c>
      <c r="K19" s="53">
        <f>SUM(K10:K13)</f>
        <v/>
      </c>
      <c r="L19" s="53">
        <f>SUM(L10:L13)</f>
        <v/>
      </c>
      <c r="M19" s="51" t="n"/>
    </row>
    <row r="20">
      <c r="A20" s="54" t="n"/>
      <c r="B20" s="55" t="inlineStr">
        <is>
          <t>Haladó szint összesen</t>
        </is>
      </c>
      <c r="C20" s="54" t="n"/>
      <c r="D20" s="54" t="n"/>
      <c r="E20" s="54" t="n"/>
      <c r="F20" s="54" t="n"/>
      <c r="G20" s="54" t="n"/>
      <c r="H20" s="54" t="n"/>
      <c r="I20" s="54" t="n"/>
      <c r="J20" s="56">
        <f>SUM(J15:J17)</f>
        <v/>
      </c>
      <c r="K20" s="56">
        <f>SUM(K15:K17)</f>
        <v/>
      </c>
      <c r="L20" s="56">
        <f>SUM(L15:L17)</f>
        <v/>
      </c>
      <c r="M20" s="54" t="n"/>
    </row>
    <row r="21">
      <c r="A21" s="57" t="n"/>
      <c r="B21" s="58" t="inlineStr">
        <is>
          <t>TELJES ÚTVONAL ÖSSZESEN</t>
        </is>
      </c>
      <c r="C21" s="57" t="n"/>
      <c r="D21" s="57" t="n"/>
      <c r="E21" s="57" t="n"/>
      <c r="F21" s="57" t="n"/>
      <c r="G21" s="57" t="n"/>
      <c r="H21" s="57" t="n"/>
      <c r="I21" s="57" t="n"/>
      <c r="J21" s="59">
        <f>J18+J19+J20</f>
        <v/>
      </c>
      <c r="K21" s="59">
        <f>K18+K19+K20</f>
        <v/>
      </c>
      <c r="L21" s="59">
        <f>L18+L19+L20</f>
        <v/>
      </c>
      <c r="M21" s="57" t="n"/>
    </row>
  </sheetData>
  <mergeCells count="5">
    <mergeCell ref="A14:M14"/>
    <mergeCell ref="A1:M1"/>
    <mergeCell ref="A9:M9"/>
    <mergeCell ref="A4:M4"/>
    <mergeCell ref="A2:M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2E75B6"/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style="20" min="1" max="1"/>
    <col width="28" customWidth="1" style="20" min="2" max="2"/>
    <col width="58" customWidth="1" style="20" min="3" max="3"/>
    <col width="32" customWidth="1" style="20" min="4" max="4"/>
    <col width="48" customWidth="1" style="20" min="5" max="5"/>
    <col width="37" customWidth="1" style="20" min="6" max="6"/>
    <col width="14" customWidth="1" style="20" min="7" max="7"/>
    <col width="30" customWidth="1" style="20" min="8" max="8"/>
    <col width="30" customWidth="1" style="20" min="9" max="9"/>
    <col width="20" customWidth="1" style="20" min="10" max="10"/>
    <col width="20" customWidth="1" style="20" min="11" max="11"/>
    <col width="22" customWidth="1" style="20" min="12" max="12"/>
    <col width="16" customWidth="1" style="20" min="13" max="13"/>
  </cols>
  <sheetData>
    <row r="1">
      <c r="A1" s="62" t="inlineStr">
        <is>
          <t>Platform Engineer / DevOps  —  Platformmérnök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1" t="n"/>
    </row>
    <row r="2">
      <c r="A2" s="64" t="inlineStr">
        <is>
          <t>A fejlesztői produktivitás és cloud-native infrastruktúra felelőse. CI/CD, IaC, SRE és GitOps.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1" t="n"/>
    </row>
    <row r="3">
      <c r="A3" s="30" t="inlineStr">
        <is>
          <t>#</t>
        </is>
      </c>
      <c r="B3" s="30" t="inlineStr">
        <is>
          <t>Képzési terület</t>
        </is>
      </c>
      <c r="C3" s="30" t="inlineStr">
        <is>
          <t>Képzési tartalom</t>
        </is>
      </c>
      <c r="D3" s="30" t="inlineStr">
        <is>
          <t>Eszköz / Platform</t>
        </is>
      </c>
      <c r="E3" s="30" t="inlineStr">
        <is>
          <t>AI lehetőség</t>
        </is>
      </c>
      <c r="F3" s="30" t="inlineStr">
        <is>
          <t>Bizonyítvány / Kimenet</t>
        </is>
      </c>
      <c r="G3" s="30" t="inlineStr">
        <is>
          <t>Szint</t>
        </is>
      </c>
      <c r="H3" s="30" t="inlineStr">
        <is>
          <t>Megjegyzés</t>
        </is>
      </c>
      <c r="I3" s="30" t="inlineStr">
        <is>
          <t>Képzőhely / Provider</t>
        </is>
      </c>
      <c r="J3" s="30" t="inlineStr">
        <is>
          <t>Képzési díj (nettó Ft)</t>
        </is>
      </c>
      <c r="K3" s="30" t="inlineStr">
        <is>
          <t>Vizsgadíj (nettó Ft)</t>
        </is>
      </c>
      <c r="L3" s="30" t="inlineStr">
        <is>
          <t>Össz. költség/fő (Ft)</t>
        </is>
      </c>
      <c r="M3" s="30" t="inlineStr">
        <is>
          <t>Javasolt félév</t>
        </is>
      </c>
    </row>
    <row r="4">
      <c r="A4" s="65" t="inlineStr">
        <is>
          <t>ALAPSZINT  |  Foundation  —  Belépő szint (0–1 év tapasztalat)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1" t="n"/>
    </row>
    <row r="5">
      <c r="A5" s="67" t="n">
        <v>1</v>
      </c>
      <c r="B5" s="36" t="inlineStr">
        <is>
          <t>Linux és rendszeradminisztráció</t>
        </is>
      </c>
      <c r="C5" s="36" t="inlineStr">
        <is>
          <t>Linux alapok: fájlrendszer, jogosultságok, shell scripting (Bash); process management; csomagkezelés; systemd; hálózati alapok: IP, DNS, SSH; log management; biztonsági hardening</t>
        </is>
      </c>
      <c r="D5" s="36" t="inlineStr">
        <is>
          <t>Linux (Ubuntu/CentOS), Bash, SSH, VS Code Remote</t>
        </is>
      </c>
      <c r="E5" s="36" t="inlineStr">
        <is>
          <t>Claude Code: shell script generálás és debug; GitHub Copilot: Bash kiegészítés</t>
        </is>
      </c>
      <c r="F5" s="36" t="inlineStr">
        <is>
          <t>Linux Foundation LFCS VAGY CompTIA Linux+ (opcionális)</t>
        </is>
      </c>
      <c r="G5" s="36" t="inlineStr">
        <is>
          <t>Alapszint</t>
        </is>
      </c>
      <c r="H5" s="36" t="inlineStr">
        <is>
          <t>WSL2-vel Windows-on is tanulható. Kb. 20–24 óra.</t>
        </is>
      </c>
      <c r="I5" s="36" t="inlineStr">
        <is>
          <t>Training360 / SZÁMALK</t>
        </is>
      </c>
      <c r="J5" s="37" t="n">
        <v>150000</v>
      </c>
      <c r="K5" s="37" t="n">
        <v>0</v>
      </c>
      <c r="L5" s="38">
        <f>J5+K5</f>
        <v/>
      </c>
      <c r="M5" s="36" t="inlineStr">
        <is>
          <t>2025 H2</t>
        </is>
      </c>
    </row>
    <row r="6">
      <c r="A6" s="67" t="n">
        <v>2</v>
      </c>
      <c r="B6" s="36" t="inlineStr">
        <is>
          <t>Docker és konténerizáció</t>
        </is>
      </c>
      <c r="C6" s="36" t="inlineStr">
        <is>
          <t>Docker: image, container, Dockerfile, docker-compose; multi-stage build; networking, volume; Docker Hub és privát registry; container security; image optimalizáció</t>
        </is>
      </c>
      <c r="D6" s="36" t="inlineStr">
        <is>
          <t>Docker Desktop, Docker Hub, VS Code Docker ext.</t>
        </is>
      </c>
      <c r="E6" s="36" t="inlineStr">
        <is>
          <t>Claude Code: Dockerfile és docker-compose generálás; GitHub Copilot: Dockerfile kiegészítés</t>
        </is>
      </c>
      <c r="F6" s="36" t="inlineStr">
        <is>
          <t>Belső Docker workshop + min. 3 alkalmazás konténerizálva</t>
        </is>
      </c>
      <c r="G6" s="36" t="inlineStr">
        <is>
          <t>Alapszint</t>
        </is>
      </c>
      <c r="H6" s="36" t="inlineStr">
        <is>
          <t>Docker Desktop ingyenes személyes használatra. Kb. 16 óra.</t>
        </is>
      </c>
      <c r="I6" s="36" t="inlineStr">
        <is>
          <t>HWSW / SZÁMALK</t>
        </is>
      </c>
      <c r="J6" s="37" t="n">
        <v>129000</v>
      </c>
      <c r="K6" s="37" t="n">
        <v>0</v>
      </c>
      <c r="L6" s="38">
        <f>J6+K6</f>
        <v/>
      </c>
      <c r="M6" s="36" t="inlineStr">
        <is>
          <t>2025 H2</t>
        </is>
      </c>
    </row>
    <row r="7">
      <c r="A7" s="67" t="n">
        <v>3</v>
      </c>
      <c r="B7" s="36" t="inlineStr">
        <is>
          <t>CI/CD pipeline alapok</t>
        </is>
      </c>
      <c r="C7" s="36" t="inlineStr">
        <is>
          <t>CI/CD koncepció; GitHub Actions: workflow, job, step, runner; GitLab CI; Azure Pipelines; pipeline stages: build, test, deploy; artefact management; secrets kezelés; branch protection</t>
        </is>
      </c>
      <c r="D7" s="36" t="inlineStr">
        <is>
          <t>GitHub Actions, GitLab CI, Azure DevOps Pipelines</t>
        </is>
      </c>
      <c r="E7" s="36" t="inlineStr">
        <is>
          <t>Claude Code: pipeline YAML generálás; GitHub Copilot: workflow kiegészítés</t>
        </is>
      </c>
      <c r="F7" s="36" t="inlineStr">
        <is>
          <t>GitHub Actions Certification VAGY GitLab CI/CD Associate</t>
        </is>
      </c>
      <c r="G7" s="36" t="inlineStr">
        <is>
          <t>Alapszint</t>
        </is>
      </c>
      <c r="H7" s="36" t="inlineStr">
        <is>
          <t>GitHub Actions ingyenesen használható. Kb. 16–20 óra.</t>
        </is>
      </c>
      <c r="I7" s="36" t="inlineStr">
        <is>
          <t>HWSW / Training360</t>
        </is>
      </c>
      <c r="J7" s="37" t="n">
        <v>149000</v>
      </c>
      <c r="K7" s="37" t="n">
        <v>0</v>
      </c>
      <c r="L7" s="38">
        <f>J7+K7</f>
        <v/>
      </c>
      <c r="M7" s="36" t="inlineStr">
        <is>
          <t>2025 H2</t>
        </is>
      </c>
    </row>
    <row r="8">
      <c r="A8" s="67" t="n">
        <v>4</v>
      </c>
      <c r="B8" s="36" t="inlineStr">
        <is>
          <t>Cloud alapok (AWS/Azure)</t>
        </is>
      </c>
      <c r="C8" s="36" t="inlineStr">
        <is>
          <t>Cloud computing: IaaS/PaaS/SaaS; AWS: EC2, S3, VPC, IAM, RDS, Lambda; Azure: VM, Storage, VNet, AD, Functions; Shared Responsibility Model; cost management; CLI és SDK</t>
        </is>
      </c>
      <c r="D8" s="36" t="inlineStr">
        <is>
          <t>AWS Free Tier, Azure Free Account, AWS CLI, Azure CLI</t>
        </is>
      </c>
      <c r="E8" s="36" t="inlineStr">
        <is>
          <t>Claude: cloud szolgáltatás összehasonlítás és architektúra javaslat</t>
        </is>
      </c>
      <c r="F8" s="36" t="inlineStr">
        <is>
          <t>AWS Cloud Practitioner (CLF-C02) VAGY Azure Fundamentals (AZ-900)</t>
        </is>
      </c>
      <c r="G8" s="36" t="inlineStr">
        <is>
          <t>Alapszint</t>
        </is>
      </c>
      <c r="H8" s="36" t="inlineStr">
        <is>
          <t>Mindkét vizsga ingyenesen felkészíthető. Kb. 20 óra.</t>
        </is>
      </c>
      <c r="I8" s="36" t="inlineStr">
        <is>
          <t>Masterfield / MS Learn</t>
        </is>
      </c>
      <c r="J8" s="37" t="n">
        <v>89000</v>
      </c>
      <c r="K8" s="37" t="n">
        <v>37620</v>
      </c>
      <c r="L8" s="38">
        <f>J8+K8</f>
        <v/>
      </c>
      <c r="M8" s="36" t="inlineStr">
        <is>
          <t>2025 H2</t>
        </is>
      </c>
    </row>
    <row r="9">
      <c r="A9" s="68" t="inlineStr">
        <is>
          <t>KÖZÉPSZINT  |  Practitioner  —  Fejlesztő szint (1–3 év tapasztalat)</t>
        </is>
      </c>
      <c r="B9" s="60" t="n"/>
      <c r="C9" s="60" t="n"/>
      <c r="D9" s="60" t="n"/>
      <c r="E9" s="60" t="n"/>
      <c r="F9" s="60" t="n"/>
      <c r="G9" s="60" t="n"/>
      <c r="H9" s="60" t="n"/>
      <c r="I9" s="60" t="n"/>
      <c r="J9" s="60" t="n"/>
      <c r="K9" s="60" t="n"/>
      <c r="L9" s="60" t="n"/>
      <c r="M9" s="61" t="n"/>
    </row>
    <row r="10">
      <c r="A10" s="70" t="n">
        <v>5</v>
      </c>
      <c r="B10" s="39" t="inlineStr">
        <is>
          <t>Kubernetes és orkesztráció</t>
        </is>
      </c>
      <c r="C10" s="39" t="inlineStr">
        <is>
          <t>K8s architektúra: control plane, Pod, Deployment, Service, ConfigMap, Secret; Ingress; Helm; RBAC; autoscaling (HPA, VPA); Persistent Volumes; Prometheus + Grafana; EFK/ELK logging; K8s security</t>
        </is>
      </c>
      <c r="D10" s="39" t="inlineStr">
        <is>
          <t>Kubernetes (minikube/kind), Helm, kubectl, Prometheus, Grafana</t>
        </is>
      </c>
      <c r="E10" s="39" t="inlineStr">
        <is>
          <t>Claude Code: K8s manifest és Helm chart generálás; GitHub Copilot: YAML kiegészítés</t>
        </is>
      </c>
      <c r="F10" s="39" t="inlineStr">
        <is>
          <t>CKA (Certified Kubernetes Administrator – CNCF) – hands-on vizsga</t>
        </is>
      </c>
      <c r="G10" s="39" t="inlineStr">
        <is>
          <t>Középszint</t>
        </is>
      </c>
      <c r="H10" s="39" t="inlineStr">
        <is>
          <t>CKA hands-on live clusterben. KillerCoda practice. Kb. 60–80 óra.</t>
        </is>
      </c>
      <c r="I10" s="39" t="inlineStr">
        <is>
          <t>HWSW / NobleProg</t>
        </is>
      </c>
      <c r="J10" s="40" t="n">
        <v>250000</v>
      </c>
      <c r="K10" s="40" t="n">
        <v>169100</v>
      </c>
      <c r="L10" s="41">
        <f>J10+K10</f>
        <v/>
      </c>
      <c r="M10" s="39" t="inlineStr">
        <is>
          <t>2026 H1</t>
        </is>
      </c>
    </row>
    <row r="11">
      <c r="A11" s="70" t="n">
        <v>6</v>
      </c>
      <c r="B11" s="39" t="inlineStr">
        <is>
          <t>Infrastructure as Code (Terraform)</t>
        </is>
      </c>
      <c r="C11" s="39" t="inlineStr">
        <is>
          <t>IaC koncepció; Terraform HCL, provider-ek, resource-ok, data sources; state management; modulok, workspace-ek; Terraform Cloud; policy as code: Sentinel / OPA; drift detection; IaC tesztelés (Terratest)</t>
        </is>
      </c>
      <c r="D11" s="39" t="inlineStr">
        <is>
          <t>Terraform, AWS/Azure provider, Terraform Cloud, VS Code</t>
        </is>
      </c>
      <c r="E11" s="39" t="inlineStr">
        <is>
          <t>Claude Code: Terraform HCL generálás természetes leírásból; GitHub Copilot: HCL kiegészítés</t>
        </is>
      </c>
      <c r="F11" s="39" t="inlineStr">
        <is>
          <t>HashiCorp Terraform Associate (003) – 57 kérdés, 60 perc</t>
        </is>
      </c>
      <c r="G11" s="39" t="inlineStr">
        <is>
          <t>Középszint</t>
        </is>
      </c>
      <c r="H11" s="39" t="inlineStr">
        <is>
          <t>Terraform Associate értékes belépő cert. Kb. 40 óra.</t>
        </is>
      </c>
      <c r="I11" s="39" t="inlineStr">
        <is>
          <t>NobleProg / HWSW</t>
        </is>
      </c>
      <c r="J11" s="40" t="n">
        <v>250000</v>
      </c>
      <c r="K11" s="40" t="n">
        <v>57000</v>
      </c>
      <c r="L11" s="41">
        <f>J11+K11</f>
        <v/>
      </c>
      <c r="M11" s="39" t="inlineStr">
        <is>
          <t>2026 H1</t>
        </is>
      </c>
    </row>
    <row r="12">
      <c r="A12" s="70" t="n">
        <v>7</v>
      </c>
      <c r="B12" s="39" t="inlineStr">
        <is>
          <t>GitOps és ArgoCD</t>
        </is>
      </c>
      <c r="C12" s="39" t="inlineStr">
        <is>
          <t>GitOps elvek: declarative, versioned, automated; ArgoCD: Application CRD, sync policy; Flux CD; GitOps workflow: PR → merge → auto-deploy; multi-env management; Sealed Secrets; progressive delivery: canary, blue-green</t>
        </is>
      </c>
      <c r="D12" s="39" t="inlineStr">
        <is>
          <t>ArgoCD, Flux CD, GitHub, Kubernetes, Sealed Secrets</t>
        </is>
      </c>
      <c r="E12" s="39" t="inlineStr">
        <is>
          <t>Claude: GitOps workflow tervezés és ArgoCD konfiguráció generálás</t>
        </is>
      </c>
      <c r="F12" s="39" t="inlineStr">
        <is>
          <t>ArgoCD belső workshop + GitOps pipeline POC</t>
        </is>
      </c>
      <c r="G12" s="39" t="inlineStr">
        <is>
          <t>Középszint</t>
        </is>
      </c>
      <c r="H12" s="39" t="inlineStr">
        <is>
          <t>ArgoCD de facto GitOps standard K8s-en. Kb. 20–24 óra.</t>
        </is>
      </c>
      <c r="I12" s="39" t="inlineStr">
        <is>
          <t>HWSW / NobleProg</t>
        </is>
      </c>
      <c r="J12" s="40" t="n">
        <v>169000</v>
      </c>
      <c r="K12" s="40" t="n">
        <v>0</v>
      </c>
      <c r="L12" s="41">
        <f>J12+K12</f>
        <v/>
      </c>
      <c r="M12" s="39" t="inlineStr">
        <is>
          <t>2026 H1</t>
        </is>
      </c>
    </row>
    <row r="13">
      <c r="A13" s="70" t="n">
        <v>8</v>
      </c>
      <c r="B13" s="39" t="inlineStr">
        <is>
          <t>Monitoring, observability és SRE</t>
        </is>
      </c>
      <c r="C13" s="39" t="inlineStr">
        <is>
          <t>Observability 3 pillér: metrikák, logok, trace-ek; Prometheus PromQL, alerting; Grafana; distributed tracing: Jaeger, OpenTelemetry; SRE: SLI, SLO, error budget; toil reduction; postmortem kultúra</t>
        </is>
      </c>
      <c r="D13" s="39" t="inlineStr">
        <is>
          <t>Prometheus, Grafana, Jaeger, OpenTelemetry, PagerDuty</t>
        </is>
      </c>
      <c r="E13" s="39" t="inlineStr">
        <is>
          <t>AI anomália detektálás Grafana-ban; Claude: PromQL query és alerting rule generálás</t>
        </is>
      </c>
      <c r="F13" s="39" t="inlineStr">
        <is>
          <t>Belső SRE workshop + Prometheus monitoring POC</t>
        </is>
      </c>
      <c r="G13" s="39" t="inlineStr">
        <is>
          <t>Középszint</t>
        </is>
      </c>
      <c r="H13" s="39" t="inlineStr">
        <is>
          <t>Google SRE könyv ingyenesen elérhető. Kb. 24–30 óra.</t>
        </is>
      </c>
      <c r="I13" s="39" t="inlineStr">
        <is>
          <t>HWSW / NobleProg</t>
        </is>
      </c>
      <c r="J13" s="40" t="n">
        <v>169000</v>
      </c>
      <c r="K13" s="40" t="n">
        <v>0</v>
      </c>
      <c r="L13" s="41">
        <f>J13+K13</f>
        <v/>
      </c>
      <c r="M13" s="39" t="inlineStr">
        <is>
          <t>2026 H1</t>
        </is>
      </c>
    </row>
    <row r="14">
      <c r="A14" s="71" t="inlineStr">
        <is>
          <t>HALADÓ SZINT  |  Expert / Lead  —  Mester szint (3+ év tapasztalat)</t>
        </is>
      </c>
      <c r="B14" s="60" t="n"/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  <c r="L14" s="60" t="n"/>
      <c r="M14" s="61" t="n"/>
    </row>
    <row r="15">
      <c r="A15" s="73" t="n">
        <v>9</v>
      </c>
      <c r="B15" s="42" t="inlineStr">
        <is>
          <t>Platform engineering és developer experience</t>
        </is>
      </c>
      <c r="C15" s="42" t="inlineStr">
        <is>
          <t>Internal Developer Platform (IDP); Backstage (Spotify); service catalog; golden paths; self-service infra; platform team model (Team Topologies); developer experience (DX) mérése; platform adoption</t>
        </is>
      </c>
      <c r="D15" s="42" t="inlineStr">
        <is>
          <t>Backstage, Kubernetes, Terraform, ArgoCD</t>
        </is>
      </c>
      <c r="E15" s="42" t="inlineStr">
        <is>
          <t>Claude: Backstage plugin és template generálás; platform tervezet</t>
        </is>
      </c>
      <c r="F15" s="42" t="inlineStr">
        <is>
          <t>Platform Engineering belső specialista + IDP POC</t>
        </is>
      </c>
      <c r="G15" s="42" t="inlineStr">
        <is>
          <t>Haladó szint</t>
        </is>
      </c>
      <c r="H15" s="42" t="inlineStr">
        <is>
          <t>Backstage open source. Rapidly growing field. Kb. 30–40 óra.</t>
        </is>
      </c>
      <c r="I15" s="42" t="inlineStr">
        <is>
          <t>NobleProg / Belső</t>
        </is>
      </c>
      <c r="J15" s="43" t="n">
        <v>300000</v>
      </c>
      <c r="K15" s="43" t="n">
        <v>0</v>
      </c>
      <c r="L15" s="44">
        <f>J15+K15</f>
        <v/>
      </c>
      <c r="M15" s="42" t="inlineStr">
        <is>
          <t>2026 H2</t>
        </is>
      </c>
    </row>
    <row r="16">
      <c r="A16" s="73" t="n">
        <v>10</v>
      </c>
      <c r="B16" s="42" t="inlineStr">
        <is>
          <t>Advanced Kubernetes és service mesh</t>
        </is>
      </c>
      <c r="C16" s="42" t="inlineStr">
        <is>
          <t>K8s haladó: CRD, operators, admission controllers; Istio traffic management, mTLS, observability; multi-cluster; K8s security: Pod Security Standards, Falco; cost optimization; DR</t>
        </is>
      </c>
      <c r="D16" s="42" t="inlineStr">
        <is>
          <t>Istio, Kubernetes, Falco, Crossplane</t>
        </is>
      </c>
      <c r="E16" s="42" t="inlineStr">
        <is>
          <t>Claude: Istio konfiguráció és K8s operator scaffold generálás</t>
        </is>
      </c>
      <c r="F16" s="42" t="inlineStr">
        <is>
          <t>CKS (Certified Kubernetes Security Specialist) VAGY CKAD</t>
        </is>
      </c>
      <c r="G16" s="42" t="inlineStr">
        <is>
          <t>Haladó szint</t>
        </is>
      </c>
      <c r="H16" s="42" t="inlineStr">
        <is>
          <t>CKS legmagasabb K8s security cert. Kb. 40–60 óra.</t>
        </is>
      </c>
      <c r="I16" s="42" t="inlineStr">
        <is>
          <t>NobleProg / HWSW</t>
        </is>
      </c>
      <c r="J16" s="43" t="n">
        <v>300000</v>
      </c>
      <c r="K16" s="43" t="n">
        <v>169100</v>
      </c>
      <c r="L16" s="44">
        <f>J16+K16</f>
        <v/>
      </c>
      <c r="M16" s="42" t="inlineStr">
        <is>
          <t>2026 H2</t>
        </is>
      </c>
    </row>
    <row r="17">
      <c r="A17" s="73" t="n">
        <v>11</v>
      </c>
      <c r="B17" s="42" t="inlineStr">
        <is>
          <t>Cloud architecture és FinOps</t>
        </is>
      </c>
      <c r="C17" s="42" t="inlineStr">
        <is>
          <t>Multi-cloud stratégia; landing zone design; Well-Architected review; FinOps: cost allocation, tagging, reserved instances; cloud governance; DR és HA tervezés; cloud migration</t>
        </is>
      </c>
      <c r="D17" s="42" t="inlineStr">
        <is>
          <t>AWS/Azure, Terraform, Infracost, Kubecost</t>
        </is>
      </c>
      <c r="E17" s="42" t="inlineStr">
        <is>
          <t>Claude: cloud arch review és költségoptimalizáció; FinOps dashboard tervezet</t>
        </is>
      </c>
      <c r="F17" s="42" t="inlineStr">
        <is>
          <t>AWS Solutions Architect Associate VAGY AZ-305</t>
        </is>
      </c>
      <c r="G17" s="42" t="inlineStr">
        <is>
          <t>Haladó szint</t>
        </is>
      </c>
      <c r="H17" s="42" t="inlineStr">
        <is>
          <t>SA cert az egyik legértékesebb cloud cert. Kb. 60–80 óra.</t>
        </is>
      </c>
      <c r="I17" s="42" t="inlineStr">
        <is>
          <t>Masterfield / euzert.hu</t>
        </is>
      </c>
      <c r="J17" s="43" t="n">
        <v>350000</v>
      </c>
      <c r="K17" s="43" t="n">
        <v>62700</v>
      </c>
      <c r="L17" s="44">
        <f>J17+K17</f>
        <v/>
      </c>
      <c r="M17" s="42" t="inlineStr">
        <is>
          <t>2026 H2</t>
        </is>
      </c>
    </row>
    <row r="18">
      <c r="A18" s="48" t="n"/>
      <c r="B18" s="49" t="inlineStr">
        <is>
          <t>Alapszint összesen</t>
        </is>
      </c>
      <c r="C18" s="48" t="n"/>
      <c r="D18" s="48" t="n"/>
      <c r="E18" s="48" t="n"/>
      <c r="F18" s="48" t="n"/>
      <c r="G18" s="48" t="n"/>
      <c r="H18" s="48" t="n"/>
      <c r="I18" s="48" t="n"/>
      <c r="J18" s="50">
        <f>SUM(J5:J8)</f>
        <v/>
      </c>
      <c r="K18" s="50">
        <f>SUM(K5:K8)</f>
        <v/>
      </c>
      <c r="L18" s="50">
        <f>SUM(L5:L8)</f>
        <v/>
      </c>
      <c r="M18" s="48" t="n"/>
    </row>
    <row r="19">
      <c r="A19" s="51" t="n"/>
      <c r="B19" s="52" t="inlineStr">
        <is>
          <t>Középszint összesen</t>
        </is>
      </c>
      <c r="C19" s="51" t="n"/>
      <c r="D19" s="51" t="n"/>
      <c r="E19" s="51" t="n"/>
      <c r="F19" s="51" t="n"/>
      <c r="G19" s="51" t="n"/>
      <c r="H19" s="51" t="n"/>
      <c r="I19" s="51" t="n"/>
      <c r="J19" s="53">
        <f>SUM(J10:J13)</f>
        <v/>
      </c>
      <c r="K19" s="53">
        <f>SUM(K10:K13)</f>
        <v/>
      </c>
      <c r="L19" s="53">
        <f>SUM(L10:L13)</f>
        <v/>
      </c>
      <c r="M19" s="51" t="n"/>
    </row>
    <row r="20">
      <c r="A20" s="54" t="n"/>
      <c r="B20" s="55" t="inlineStr">
        <is>
          <t>Haladó szint összesen</t>
        </is>
      </c>
      <c r="C20" s="54" t="n"/>
      <c r="D20" s="54" t="n"/>
      <c r="E20" s="54" t="n"/>
      <c r="F20" s="54" t="n"/>
      <c r="G20" s="54" t="n"/>
      <c r="H20" s="54" t="n"/>
      <c r="I20" s="54" t="n"/>
      <c r="J20" s="56">
        <f>SUM(J15:J17)</f>
        <v/>
      </c>
      <c r="K20" s="56">
        <f>SUM(K15:K17)</f>
        <v/>
      </c>
      <c r="L20" s="56">
        <f>SUM(L15:L17)</f>
        <v/>
      </c>
      <c r="M20" s="54" t="n"/>
    </row>
    <row r="21">
      <c r="A21" s="57" t="n"/>
      <c r="B21" s="58" t="inlineStr">
        <is>
          <t>TELJES ÚTVONAL ÖSSZESEN</t>
        </is>
      </c>
      <c r="C21" s="57" t="n"/>
      <c r="D21" s="57" t="n"/>
      <c r="E21" s="57" t="n"/>
      <c r="F21" s="57" t="n"/>
      <c r="G21" s="57" t="n"/>
      <c r="H21" s="57" t="n"/>
      <c r="I21" s="57" t="n"/>
      <c r="J21" s="59">
        <f>J18+J19+J20</f>
        <v/>
      </c>
      <c r="K21" s="59">
        <f>K18+K19+K20</f>
        <v/>
      </c>
      <c r="L21" s="59">
        <f>L18+L19+L20</f>
        <v/>
      </c>
      <c r="M21" s="57" t="n"/>
    </row>
  </sheetData>
  <mergeCells count="5">
    <mergeCell ref="A14:M14"/>
    <mergeCell ref="A1:M1"/>
    <mergeCell ref="A9:M9"/>
    <mergeCell ref="A4:M4"/>
    <mergeCell ref="A2:M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2E75B6"/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style="20" min="1" max="1"/>
    <col width="28" customWidth="1" style="20" min="2" max="2"/>
    <col width="58" customWidth="1" style="20" min="3" max="3"/>
    <col width="32" customWidth="1" style="20" min="4" max="4"/>
    <col width="48" customWidth="1" style="20" min="5" max="5"/>
    <col width="37" customWidth="1" style="20" min="6" max="6"/>
    <col width="14" customWidth="1" style="20" min="7" max="7"/>
    <col width="30" customWidth="1" style="20" min="8" max="8"/>
    <col width="30" customWidth="1" style="20" min="9" max="9"/>
    <col width="20" customWidth="1" style="20" min="10" max="10"/>
    <col width="20" customWidth="1" style="20" min="11" max="11"/>
    <col width="22" customWidth="1" style="20" min="12" max="12"/>
    <col width="16" customWidth="1" style="20" min="13" max="13"/>
  </cols>
  <sheetData>
    <row r="1">
      <c r="A1" s="62" t="inlineStr">
        <is>
          <t>AI/ML Engineer  —  Mesterséges Intelligencia Mérnök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1" t="n"/>
    </row>
    <row r="2">
      <c r="A2" s="64" t="inlineStr">
        <is>
          <t>Vállalati AI megoldások fejlesztője. RAG, fine-tuning, MLOps, AI agent fejlesztés és LLM integráció.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1" t="n"/>
    </row>
    <row r="3">
      <c r="A3" s="30" t="inlineStr">
        <is>
          <t>#</t>
        </is>
      </c>
      <c r="B3" s="30" t="inlineStr">
        <is>
          <t>Képzési terület</t>
        </is>
      </c>
      <c r="C3" s="30" t="inlineStr">
        <is>
          <t>Képzési tartalom</t>
        </is>
      </c>
      <c r="D3" s="30" t="inlineStr">
        <is>
          <t>Eszköz / Platform</t>
        </is>
      </c>
      <c r="E3" s="30" t="inlineStr">
        <is>
          <t>AI lehetőség</t>
        </is>
      </c>
      <c r="F3" s="30" t="inlineStr">
        <is>
          <t>Bizonyítvány / Kimenet</t>
        </is>
      </c>
      <c r="G3" s="30" t="inlineStr">
        <is>
          <t>Szint</t>
        </is>
      </c>
      <c r="H3" s="30" t="inlineStr">
        <is>
          <t>Megjegyzés</t>
        </is>
      </c>
      <c r="I3" s="30" t="inlineStr">
        <is>
          <t>Képzőhely / Provider</t>
        </is>
      </c>
      <c r="J3" s="30" t="inlineStr">
        <is>
          <t>Képzési díj (nettó Ft)</t>
        </is>
      </c>
      <c r="K3" s="30" t="inlineStr">
        <is>
          <t>Vizsgadíj (nettó Ft)</t>
        </is>
      </c>
      <c r="L3" s="30" t="inlineStr">
        <is>
          <t>Össz. költség/fő (Ft)</t>
        </is>
      </c>
      <c r="M3" s="30" t="inlineStr">
        <is>
          <t>Javasolt félév</t>
        </is>
      </c>
    </row>
    <row r="4">
      <c r="A4" s="65" t="inlineStr">
        <is>
          <t>ALAPSZINT  |  Foundation  —  Belépő szint (0–1 év tapasztalat)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1" t="n"/>
    </row>
    <row r="5">
      <c r="A5" s="67" t="n">
        <v>1</v>
      </c>
      <c r="B5" s="36" t="inlineStr">
        <is>
          <t>AI/ML alapok</t>
        </is>
      </c>
      <c r="C5" s="36" t="inlineStr">
        <is>
          <t>Gépi tanulás: supervised, unsupervised, reinforcement; neurális hálók: perceptron, backpropagation; deep learning: CNN, RNN, Transformer; NLP: tokenizáció, embedding, attention; LLM működés; AI etika; EU AI Act</t>
        </is>
      </c>
      <c r="D5" s="36" t="inlineStr">
        <is>
          <t>Python, Jupyter, scikit-learn, TensorFlow/PyTorch</t>
        </is>
      </c>
      <c r="E5" s="36" t="inlineStr">
        <is>
          <t>Claude: ML fogalmak és kód generálás; vizsgafelkészítő kérdések</t>
        </is>
      </c>
      <c r="F5" s="36" t="inlineStr">
        <is>
          <t>DeepLearning.ai ML Specialization (Coursera) VAGY Stanford CS229</t>
        </is>
      </c>
      <c r="G5" s="36" t="inlineStr">
        <is>
          <t>Alapszint</t>
        </is>
      </c>
      <c r="H5" s="36" t="inlineStr">
        <is>
          <t>Andrew Ng kurzusai kiváló kiindulópont. Kb. 40–60 óra.</t>
        </is>
      </c>
      <c r="I5" s="36" t="inlineStr">
        <is>
          <t>CUBIX / Coursera</t>
        </is>
      </c>
      <c r="J5" s="37" t="n">
        <v>200000</v>
      </c>
      <c r="K5" s="37" t="n">
        <v>0</v>
      </c>
      <c r="L5" s="38">
        <f>J5+K5</f>
        <v/>
      </c>
      <c r="M5" s="36" t="inlineStr">
        <is>
          <t>2025 H2</t>
        </is>
      </c>
    </row>
    <row r="6">
      <c r="A6" s="67" t="n">
        <v>2</v>
      </c>
      <c r="B6" s="36" t="inlineStr">
        <is>
          <t>Python ML ökoszisztéma</t>
        </is>
      </c>
      <c r="C6" s="36" t="inlineStr">
        <is>
          <t>NumPy, Pandas, Matplotlib, Seaborn; scikit-learn: preprocessing, model selection, cross-validation, hyperparameter tuning; feature engineering; evaluation: accuracy, precision, recall, F1, AUC-ROC; MLflow bevezető</t>
        </is>
      </c>
      <c r="D6" s="36" t="inlineStr">
        <is>
          <t>Python, scikit-learn, MLflow, Jupyter, VS Code</t>
        </is>
      </c>
      <c r="E6" s="36" t="inlineStr">
        <is>
          <t>Claude Code: ML pipeline kód generálás; GitHub Copilot: Python kiegészítés</t>
        </is>
      </c>
      <c r="F6" s="36" t="inlineStr">
        <is>
          <t>Belső ML Python workshop + min. 3 ML notebook</t>
        </is>
      </c>
      <c r="G6" s="36" t="inlineStr">
        <is>
          <t>Alapszint</t>
        </is>
      </c>
      <c r="H6" s="36" t="inlineStr">
        <is>
          <t>scikit-learn kiváló első ML framework. Kb. 30–40 óra.</t>
        </is>
      </c>
      <c r="I6" s="36" t="inlineStr">
        <is>
          <t>CUBIX / Training360</t>
        </is>
      </c>
      <c r="J6" s="37" t="n">
        <v>200000</v>
      </c>
      <c r="K6" s="37" t="n">
        <v>0</v>
      </c>
      <c r="L6" s="38">
        <f>J6+K6</f>
        <v/>
      </c>
      <c r="M6" s="36" t="inlineStr">
        <is>
          <t>2025 H2</t>
        </is>
      </c>
    </row>
    <row r="7">
      <c r="A7" s="67" t="n">
        <v>3</v>
      </c>
      <c r="B7" s="36" t="inlineStr">
        <is>
          <t>LLM és Prompt Engineering haladó</t>
        </is>
      </c>
      <c r="C7" s="36" t="inlineStr">
        <is>
          <t>Transformer architektúra; prompt engineering haladó: system prompt, CoT, ReAct; Claude API és Tool Use; structured output (JSON); prompt versioning; költségoptimalizálás; LLM benchmarking</t>
        </is>
      </c>
      <c r="D7" s="36" t="inlineStr">
        <is>
          <t>Claude API, Anthropic SDK, OpenAI API, LiteLLM</t>
        </is>
      </c>
      <c r="E7" s="36" t="inlineStr">
        <is>
          <t>Claude API: Tool Use implementáció; prompt evaluation; multi-model routing</t>
        </is>
      </c>
      <c r="F7" s="36" t="inlineStr">
        <is>
          <t>Anthropic Claude API workshop + belső LLM képzés</t>
        </is>
      </c>
      <c r="G7" s="36" t="inlineStr">
        <is>
          <t>Alapszint</t>
        </is>
      </c>
      <c r="H7" s="36" t="inlineStr">
        <is>
          <t>Anthropic dokumentáció alapvető referencia. Kb. 20–24 óra.</t>
        </is>
      </c>
      <c r="I7" s="36" t="inlineStr">
        <is>
          <t>HWSW / Belső</t>
        </is>
      </c>
      <c r="J7" s="37" t="n">
        <v>129000</v>
      </c>
      <c r="K7" s="37" t="n">
        <v>0</v>
      </c>
      <c r="L7" s="38">
        <f>J7+K7</f>
        <v/>
      </c>
      <c r="M7" s="36" t="inlineStr">
        <is>
          <t>2025 H2</t>
        </is>
      </c>
    </row>
    <row r="8">
      <c r="A8" s="67" t="n">
        <v>4</v>
      </c>
      <c r="B8" s="36" t="inlineStr">
        <is>
          <t>Adatfeldolgozás és feature engineering</t>
        </is>
      </c>
      <c r="C8" s="36" t="inlineStr">
        <is>
          <t>Adatelőkészítés ML-hez: tisztítás, hiányzó értékek, outlier detection; feature engineering: encoding, scaling, selection; NLP preprocessing: tokenizáció, stemming; embedding: sentence-transformers; data augmentation</t>
        </is>
      </c>
      <c r="D8" s="36" t="inlineStr">
        <is>
          <t>Python, Pandas, NLTK, spaCy, sentence-transformers</t>
        </is>
      </c>
      <c r="E8" s="36" t="inlineStr">
        <is>
          <t>Claude Code: adatelőkészítő pipeline generálás; feature engineering javaslatok</t>
        </is>
      </c>
      <c r="F8" s="36" t="inlineStr">
        <is>
          <t>Belső Data Preprocessing workshop + feature engineering POC</t>
        </is>
      </c>
      <c r="G8" s="36" t="inlineStr">
        <is>
          <t>Alapszint</t>
        </is>
      </c>
      <c r="H8" s="36" t="inlineStr">
        <is>
          <t>Adatminőség a legfontosabb ML faktor. Kb. 16–20 óra.</t>
        </is>
      </c>
      <c r="I8" s="36" t="inlineStr">
        <is>
          <t>CUBIX / Training360</t>
        </is>
      </c>
      <c r="J8" s="37" t="n">
        <v>150000</v>
      </c>
      <c r="K8" s="37" t="n">
        <v>0</v>
      </c>
      <c r="L8" s="38">
        <f>J8+K8</f>
        <v/>
      </c>
      <c r="M8" s="36" t="inlineStr">
        <is>
          <t>2025 H2</t>
        </is>
      </c>
    </row>
    <row r="9">
      <c r="A9" s="68" t="inlineStr">
        <is>
          <t>KÖZÉPSZINT  |  Practitioner  —  Fejlesztő szint (1–3 év tapasztalat)</t>
        </is>
      </c>
      <c r="B9" s="60" t="n"/>
      <c r="C9" s="60" t="n"/>
      <c r="D9" s="60" t="n"/>
      <c r="E9" s="60" t="n"/>
      <c r="F9" s="60" t="n"/>
      <c r="G9" s="60" t="n"/>
      <c r="H9" s="60" t="n"/>
      <c r="I9" s="60" t="n"/>
      <c r="J9" s="60" t="n"/>
      <c r="K9" s="60" t="n"/>
      <c r="L9" s="60" t="n"/>
      <c r="M9" s="61" t="n"/>
    </row>
    <row r="10">
      <c r="A10" s="70" t="n">
        <v>5</v>
      </c>
      <c r="B10" s="39" t="inlineStr">
        <is>
          <t>RAG rendszerek fejlesztése</t>
        </is>
      </c>
      <c r="C10" s="39" t="inlineStr">
        <is>
          <t>RAG architektúra: document loading, chunking, embedding; vector store: Pinecone, Qdrant, pgvector, ChromaDB; retrieval optimalizáció: hybrid search, reranking; RAG evaluation; advanced RAG: multi-step, query transformation</t>
        </is>
      </c>
      <c r="D10" s="39" t="inlineStr">
        <is>
          <t>LangChain, LlamaIndex, Pinecone/Qdrant, Claude API</t>
        </is>
      </c>
      <c r="E10" s="39" t="inlineStr">
        <is>
          <t>Claude: RAG pipeline tervezés és implementáció; LangChain orchestráció</t>
        </is>
      </c>
      <c r="F10" s="39" t="inlineStr">
        <is>
          <t>Belső RAG workshop + vállalati RAG POC</t>
        </is>
      </c>
      <c r="G10" s="39" t="inlineStr">
        <is>
          <t>Középszint</t>
        </is>
      </c>
      <c r="H10" s="39" t="inlineStr">
        <is>
          <t>RAG a leggyakoribb enterprise AI pattern. Kb. 30–40 óra.</t>
        </is>
      </c>
      <c r="I10" s="39" t="inlineStr">
        <is>
          <t>NobleProg / HWSW</t>
        </is>
      </c>
      <c r="J10" s="40" t="n">
        <v>250000</v>
      </c>
      <c r="K10" s="40" t="n">
        <v>0</v>
      </c>
      <c r="L10" s="41">
        <f>J10+K10</f>
        <v/>
      </c>
      <c r="M10" s="39" t="inlineStr">
        <is>
          <t>2026 H1</t>
        </is>
      </c>
    </row>
    <row r="11">
      <c r="A11" s="70" t="n">
        <v>6</v>
      </c>
      <c r="B11" s="39" t="inlineStr">
        <is>
          <t>AI Agent fejlesztés</t>
        </is>
      </c>
      <c r="C11" s="39" t="inlineStr">
        <is>
          <t>Agentic AI: agent loop; Claude Tool Use, function calling; multi-agent orchestráció; LangGraph stateful graph; CrewAI; MCP integráció; human-in-the-loop; agent evaluation; guardrails</t>
        </is>
      </c>
      <c r="D11" s="39" t="inlineStr">
        <is>
          <t>Claude API, LangGraph, CrewAI, MCP SDK, n8n</t>
        </is>
      </c>
      <c r="E11" s="39" t="inlineStr">
        <is>
          <t>Claude Agent SDK: production agent fejlesztés; MCP tool integráció; multi-agent workflow</t>
        </is>
      </c>
      <c r="F11" s="39" t="inlineStr">
        <is>
          <t>Belső AI Agent workshop + agent POC valódi use case-re</t>
        </is>
      </c>
      <c r="G11" s="39" t="inlineStr">
        <is>
          <t>Középszint</t>
        </is>
      </c>
      <c r="H11" s="39" t="inlineStr">
        <is>
          <t>2025 legforróbb AI területe. Kb. 30–40 óra.</t>
        </is>
      </c>
      <c r="I11" s="39" t="inlineStr">
        <is>
          <t>NobleProg / HWSW</t>
        </is>
      </c>
      <c r="J11" s="40" t="n">
        <v>250000</v>
      </c>
      <c r="K11" s="40" t="n">
        <v>0</v>
      </c>
      <c r="L11" s="41">
        <f>J11+K11</f>
        <v/>
      </c>
      <c r="M11" s="39" t="inlineStr">
        <is>
          <t>2026 H1</t>
        </is>
      </c>
    </row>
    <row r="12">
      <c r="A12" s="70" t="n">
        <v>7</v>
      </c>
      <c r="B12" s="39" t="inlineStr">
        <is>
          <t>Fine-tuning és model customization</t>
        </is>
      </c>
      <c r="C12" s="39" t="inlineStr">
        <is>
          <t>Transfer learning: full fine-tuning vs. LoRA/QLoRA vs. prefix tuning; Hugging Face: Transformers, PEFT, TRL; dataset készítés; evaluation; RLHF, DPO; distillation; quantization; open source modellek: Llama, Mistral</t>
        </is>
      </c>
      <c r="D12" s="39" t="inlineStr">
        <is>
          <t>Hugging Face, PyTorch, LoRA/QLoRA, Weights &amp; Biases</t>
        </is>
      </c>
      <c r="E12" s="39" t="inlineStr">
        <is>
          <t>Claude: fine-tuning stratégia és hyperparameter javaslat; dataset validáció</t>
        </is>
      </c>
      <c r="F12" s="39" t="inlineStr">
        <is>
          <t>Hugging Face Course + fine-tuned model POC</t>
        </is>
      </c>
      <c r="G12" s="39" t="inlineStr">
        <is>
          <t>Középszint</t>
        </is>
      </c>
      <c r="H12" s="39" t="inlineStr">
        <is>
          <t>Hugging Face Course ingyenes. GPU szükséges. Kb. 40–50 óra.</t>
        </is>
      </c>
      <c r="I12" s="39" t="inlineStr">
        <is>
          <t>CUBIX / NobleProg</t>
        </is>
      </c>
      <c r="J12" s="40" t="n">
        <v>300000</v>
      </c>
      <c r="K12" s="40" t="n">
        <v>0</v>
      </c>
      <c r="L12" s="41">
        <f>J12+K12</f>
        <v/>
      </c>
      <c r="M12" s="39" t="inlineStr">
        <is>
          <t>2026 H1</t>
        </is>
      </c>
    </row>
    <row r="13">
      <c r="A13" s="70" t="n">
        <v>8</v>
      </c>
      <c r="B13" s="39" t="inlineStr">
        <is>
          <t>MLOps és model deployment</t>
        </is>
      </c>
      <c r="C13" s="39" t="inlineStr">
        <is>
          <t>MLOps lifecycle: experiment tracking, model registry, CI/CD for ML; MLflow; model serving: FastAPI, BentoML; containerized ML; A/B testing; monitoring: data/model/concept drift; feature store: Feast; pipeline orchestration</t>
        </is>
      </c>
      <c r="D13" s="39" t="inlineStr">
        <is>
          <t>MLflow, FastAPI, Docker, Kubernetes, Kubeflow</t>
        </is>
      </c>
      <c r="E13" s="39" t="inlineStr">
        <is>
          <t>Claude: MLOps pipeline tervezés; CI/CD for ML konfiguráció</t>
        </is>
      </c>
      <c r="F13" s="39" t="inlineStr">
        <is>
          <t>AWS ML Specialty VAGY Azure AI Engineer (AI-102) VAGY Google ML Engineer</t>
        </is>
      </c>
      <c r="G13" s="39" t="inlineStr">
        <is>
          <t>Középszint</t>
        </is>
      </c>
      <c r="H13" s="39" t="inlineStr">
        <is>
          <t>MLOps egyre inkább elvárás. Kb. 40 óra.</t>
        </is>
      </c>
      <c r="I13" s="39" t="inlineStr">
        <is>
          <t>NobleProg / CUBIX</t>
        </is>
      </c>
      <c r="J13" s="40" t="n">
        <v>300000</v>
      </c>
      <c r="K13" s="40" t="n">
        <v>62700</v>
      </c>
      <c r="L13" s="41">
        <f>J13+K13</f>
        <v/>
      </c>
      <c r="M13" s="39" t="inlineStr">
        <is>
          <t>2026 H1</t>
        </is>
      </c>
    </row>
    <row r="14">
      <c r="A14" s="71" t="inlineStr">
        <is>
          <t>HALADÓ SZINT  |  Expert / Lead  —  Mester szint (3+ év tapasztalat)</t>
        </is>
      </c>
      <c r="B14" s="60" t="n"/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  <c r="L14" s="60" t="n"/>
      <c r="M14" s="61" t="n"/>
    </row>
    <row r="15">
      <c r="A15" s="73" t="n">
        <v>9</v>
      </c>
      <c r="B15" s="42" t="inlineStr">
        <is>
          <t>Enterprise AI architektúra</t>
        </is>
      </c>
      <c r="C15" s="42" t="inlineStr">
        <is>
          <t>Vállalati AI platform: LLM gateway, routing; komponensek: model serving, vector DB, evaluation, monitoring; multi-model stratégia; AI költségoptimalizálás; AI security; AI observability; AI platform team</t>
        </is>
      </c>
      <c r="D15" s="42" t="inlineStr">
        <is>
          <t>AWS Bedrock, Azure OpenAI, LangSmith, Helicone</t>
        </is>
      </c>
      <c r="E15" s="42" t="inlineStr">
        <is>
          <t>Claude: enterprise AI architektúra tervezet és ADR; platform sizing</t>
        </is>
      </c>
      <c r="F15" s="42" t="inlineStr">
        <is>
          <t>Belső AI Architecture program + enterprise AI platform POC</t>
        </is>
      </c>
      <c r="G15" s="42" t="inlineStr">
        <is>
          <t>Haladó szint</t>
        </is>
      </c>
      <c r="H15" s="42" t="inlineStr">
        <is>
          <t>CTO/VP szintű AI stratégia. Kb. 30–40 óra.</t>
        </is>
      </c>
      <c r="I15" s="42" t="inlineStr">
        <is>
          <t>NobleProg / Belső</t>
        </is>
      </c>
      <c r="J15" s="43" t="n">
        <v>350000</v>
      </c>
      <c r="K15" s="43" t="n">
        <v>0</v>
      </c>
      <c r="L15" s="44">
        <f>J15+K15</f>
        <v/>
      </c>
      <c r="M15" s="42" t="inlineStr">
        <is>
          <t>2026 H2</t>
        </is>
      </c>
    </row>
    <row r="16">
      <c r="A16" s="73" t="n">
        <v>10</v>
      </c>
      <c r="B16" s="42" t="inlineStr">
        <is>
          <t>AI governance és responsible AI</t>
        </is>
      </c>
      <c r="C16" s="42" t="inlineStr">
        <is>
          <t>ISO 42001, EU AI Act implementáció; AI risk management (NIST AI RMF); model cards; bias detection, fairness; explainability: SHAP, LIME; AI audit; responsible AI policy; AI ethics board; AI TRiSM</t>
        </is>
      </c>
      <c r="D16" s="42" t="inlineStr">
        <is>
          <t>ISO 42001, Garak, PyRIT, SHAP, Anthropic Constitutional AI</t>
        </is>
      </c>
      <c r="E16" s="42" t="inlineStr">
        <is>
          <t>Claude: AI policy és risk assessment; Garak red-teaming; bias audit</t>
        </is>
      </c>
      <c r="F16" s="42" t="inlineStr">
        <is>
          <t>ISO 42001 Foundation (PECB) + belső AI Governance workshop</t>
        </is>
      </c>
      <c r="G16" s="42" t="inlineStr">
        <is>
          <t>Haladó szint</t>
        </is>
      </c>
      <c r="H16" s="42" t="inlineStr">
        <is>
          <t>Szabályozói compliance 2026-tól kötelező. Kb. 20–30 óra.</t>
        </is>
      </c>
      <c r="I16" s="42" t="inlineStr">
        <is>
          <t>euzert.hu / KÜRT Akadémia</t>
        </is>
      </c>
      <c r="J16" s="43" t="n">
        <v>300000</v>
      </c>
      <c r="K16" s="43" t="n">
        <v>152000</v>
      </c>
      <c r="L16" s="44">
        <f>J16+K16</f>
        <v/>
      </c>
      <c r="M16" s="42" t="inlineStr">
        <is>
          <t>2026 H2</t>
        </is>
      </c>
    </row>
    <row r="17">
      <c r="A17" s="73" t="n">
        <v>11</v>
      </c>
      <c r="B17" s="42" t="inlineStr">
        <is>
          <t>AI leadership és stratégia</t>
        </is>
      </c>
      <c r="C17" s="42" t="inlineStr">
        <is>
          <t>AI stratégia: maturity model, roadmap; use case priorizálás; AI team felépítése; AI ROI; AI vendor management; stakeholder kommunikáció; AI trend követés; innovation lab; mentoring</t>
        </is>
      </c>
      <c r="D17" s="42" t="inlineStr">
        <is>
          <t>Confluence, Miro, Power BI</t>
        </is>
      </c>
      <c r="E17" s="42" t="inlineStr">
        <is>
          <t>Claude: AI stratégia és roadmap generálás; AI use case scoring</t>
        </is>
      </c>
      <c r="F17" s="42" t="inlineStr">
        <is>
          <t>Belső AI Leadership program + stratégia prezentáció</t>
        </is>
      </c>
      <c r="G17" s="42" t="inlineStr">
        <is>
          <t>Haladó szint</t>
        </is>
      </c>
      <c r="H17" s="42" t="inlineStr">
        <is>
          <t>Head of AI szintű kompetencia. Kb. 20+ óra.</t>
        </is>
      </c>
      <c r="I17" s="42" t="inlineStr">
        <is>
          <t>TeaHouse Consulting / Belső</t>
        </is>
      </c>
      <c r="J17" s="43" t="n">
        <v>250000</v>
      </c>
      <c r="K17" s="43" t="n">
        <v>0</v>
      </c>
      <c r="L17" s="44">
        <f>J17+K17</f>
        <v/>
      </c>
      <c r="M17" s="42" t="inlineStr">
        <is>
          <t>2026 H2</t>
        </is>
      </c>
    </row>
    <row r="18">
      <c r="A18" s="48" t="n"/>
      <c r="B18" s="49" t="inlineStr">
        <is>
          <t>Alapszint összesen</t>
        </is>
      </c>
      <c r="C18" s="48" t="n"/>
      <c r="D18" s="48" t="n"/>
      <c r="E18" s="48" t="n"/>
      <c r="F18" s="48" t="n"/>
      <c r="G18" s="48" t="n"/>
      <c r="H18" s="48" t="n"/>
      <c r="I18" s="48" t="n"/>
      <c r="J18" s="50">
        <f>SUM(J5:J8)</f>
        <v/>
      </c>
      <c r="K18" s="50">
        <f>SUM(K5:K8)</f>
        <v/>
      </c>
      <c r="L18" s="50">
        <f>SUM(L5:L8)</f>
        <v/>
      </c>
      <c r="M18" s="48" t="n"/>
    </row>
    <row r="19">
      <c r="A19" s="51" t="n"/>
      <c r="B19" s="52" t="inlineStr">
        <is>
          <t>Középszint összesen</t>
        </is>
      </c>
      <c r="C19" s="51" t="n"/>
      <c r="D19" s="51" t="n"/>
      <c r="E19" s="51" t="n"/>
      <c r="F19" s="51" t="n"/>
      <c r="G19" s="51" t="n"/>
      <c r="H19" s="51" t="n"/>
      <c r="I19" s="51" t="n"/>
      <c r="J19" s="53">
        <f>SUM(J10:J13)</f>
        <v/>
      </c>
      <c r="K19" s="53">
        <f>SUM(K10:K13)</f>
        <v/>
      </c>
      <c r="L19" s="53">
        <f>SUM(L10:L13)</f>
        <v/>
      </c>
      <c r="M19" s="51" t="n"/>
    </row>
    <row r="20">
      <c r="A20" s="54" t="n"/>
      <c r="B20" s="55" t="inlineStr">
        <is>
          <t>Haladó szint összesen</t>
        </is>
      </c>
      <c r="C20" s="54" t="n"/>
      <c r="D20" s="54" t="n"/>
      <c r="E20" s="54" t="n"/>
      <c r="F20" s="54" t="n"/>
      <c r="G20" s="54" t="n"/>
      <c r="H20" s="54" t="n"/>
      <c r="I20" s="54" t="n"/>
      <c r="J20" s="56">
        <f>SUM(J15:J17)</f>
        <v/>
      </c>
      <c r="K20" s="56">
        <f>SUM(K15:K17)</f>
        <v/>
      </c>
      <c r="L20" s="56">
        <f>SUM(L15:L17)</f>
        <v/>
      </c>
      <c r="M20" s="54" t="n"/>
    </row>
    <row r="21">
      <c r="A21" s="57" t="n"/>
      <c r="B21" s="58" t="inlineStr">
        <is>
          <t>TELJES ÚTVONAL ÖSSZESEN</t>
        </is>
      </c>
      <c r="C21" s="57" t="n"/>
      <c r="D21" s="57" t="n"/>
      <c r="E21" s="57" t="n"/>
      <c r="F21" s="57" t="n"/>
      <c r="G21" s="57" t="n"/>
      <c r="H21" s="57" t="n"/>
      <c r="I21" s="57" t="n"/>
      <c r="J21" s="59">
        <f>J18+J19+J20</f>
        <v/>
      </c>
      <c r="K21" s="59">
        <f>K18+K19+K20</f>
        <v/>
      </c>
      <c r="L21" s="59">
        <f>L18+L19+L20</f>
        <v/>
      </c>
      <c r="M21" s="57" t="n"/>
    </row>
  </sheetData>
  <mergeCells count="5">
    <mergeCell ref="A14:M14"/>
    <mergeCell ref="A1:M1"/>
    <mergeCell ref="A9:M9"/>
    <mergeCell ref="A4:M4"/>
    <mergeCell ref="A2:M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2E75B6"/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style="20" min="1" max="1"/>
    <col width="28" customWidth="1" style="20" min="2" max="2"/>
    <col width="58" customWidth="1" style="20" min="3" max="3"/>
    <col width="32" customWidth="1" style="20" min="4" max="4"/>
    <col width="48" customWidth="1" style="20" min="5" max="5"/>
    <col width="37" customWidth="1" style="20" min="6" max="6"/>
    <col width="14" customWidth="1" style="20" min="7" max="7"/>
    <col width="30" customWidth="1" style="20" min="8" max="8"/>
    <col width="30" customWidth="1" style="20" min="9" max="9"/>
    <col width="20" customWidth="1" style="20" min="10" max="10"/>
    <col width="20" customWidth="1" style="20" min="11" max="11"/>
    <col width="22" customWidth="1" style="20" min="12" max="12"/>
    <col width="16" customWidth="1" style="20" min="13" max="13"/>
  </cols>
  <sheetData>
    <row r="1">
      <c r="A1" s="62" t="inlineStr">
        <is>
          <t>Low-code / Citizen Developer  —  Üzleti Automatizáló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1" t="n"/>
    </row>
    <row r="2">
      <c r="A2" s="64" t="inlineStr">
        <is>
          <t>IT-közeli üzleti automatizálás Power Platform, ServiceNow és RPA eszközökkel. A digitális transzformáció katalizátora.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1" t="n"/>
    </row>
    <row r="3">
      <c r="A3" s="30" t="inlineStr">
        <is>
          <t>#</t>
        </is>
      </c>
      <c r="B3" s="30" t="inlineStr">
        <is>
          <t>Képzési terület</t>
        </is>
      </c>
      <c r="C3" s="30" t="inlineStr">
        <is>
          <t>Képzési tartalom</t>
        </is>
      </c>
      <c r="D3" s="30" t="inlineStr">
        <is>
          <t>Eszköz / Platform</t>
        </is>
      </c>
      <c r="E3" s="30" t="inlineStr">
        <is>
          <t>AI lehetőség</t>
        </is>
      </c>
      <c r="F3" s="30" t="inlineStr">
        <is>
          <t>Bizonyítvány / Kimenet</t>
        </is>
      </c>
      <c r="G3" s="30" t="inlineStr">
        <is>
          <t>Szint</t>
        </is>
      </c>
      <c r="H3" s="30" t="inlineStr">
        <is>
          <t>Megjegyzés</t>
        </is>
      </c>
      <c r="I3" s="30" t="inlineStr">
        <is>
          <t>Képzőhely / Provider</t>
        </is>
      </c>
      <c r="J3" s="30" t="inlineStr">
        <is>
          <t>Képzési díj (nettó Ft)</t>
        </is>
      </c>
      <c r="K3" s="30" t="inlineStr">
        <is>
          <t>Vizsgadíj (nettó Ft)</t>
        </is>
      </c>
      <c r="L3" s="30" t="inlineStr">
        <is>
          <t>Össz. költség/fő (Ft)</t>
        </is>
      </c>
      <c r="M3" s="30" t="inlineStr">
        <is>
          <t>Javasolt félév</t>
        </is>
      </c>
    </row>
    <row r="4">
      <c r="A4" s="65" t="inlineStr">
        <is>
          <t>ALAPSZINT  |  Foundation  —  Belépő szint (0–1 év tapasztalat)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1" t="n"/>
    </row>
    <row r="5">
      <c r="A5" s="67" t="n">
        <v>1</v>
      </c>
      <c r="B5" s="36" t="inlineStr">
        <is>
          <t>Power Platform alapok</t>
        </is>
      </c>
      <c r="C5" s="36" t="inlineStr">
        <is>
          <t>Power Platform ökoszisztéma: Power Apps (canvas, model-driven), Power Automate, Power BI, Power Pages; Dataverse: táblák, oszlopok, kapcsolatok; egyszerű alkalmazás; alapvető flow-k: approval, notification; licenszelés</t>
        </is>
      </c>
      <c r="D5" s="36" t="inlineStr">
        <is>
          <t>Power Apps, Power Automate, Dataverse, MS Learn</t>
        </is>
      </c>
      <c r="E5" s="36" t="inlineStr">
        <is>
          <t>Power Platform AI Builder: szövegfelismerés, dokumentumfeldolgozás; Copilot integráció</t>
        </is>
      </c>
      <c r="F5" s="36" t="inlineStr">
        <is>
          <t>PL-900 Microsoft Power Platform Fundamentals</t>
        </is>
      </c>
      <c r="G5" s="36" t="inlineStr">
        <is>
          <t>Alapszint</t>
        </is>
      </c>
      <c r="H5" s="36" t="inlineStr">
        <is>
          <t>MS Learn ingyenes PL-900 learning path. Kb. 16–20 óra.</t>
        </is>
      </c>
      <c r="I5" s="36" t="inlineStr">
        <is>
          <t>Masterfield / IQEDU</t>
        </is>
      </c>
      <c r="J5" s="37" t="n">
        <v>134500</v>
      </c>
      <c r="K5" s="37" t="n">
        <v>37620</v>
      </c>
      <c r="L5" s="38">
        <f>J5+K5</f>
        <v/>
      </c>
      <c r="M5" s="36" t="inlineStr">
        <is>
          <t>2025 H2</t>
        </is>
      </c>
    </row>
    <row r="6">
      <c r="A6" s="67" t="n">
        <v>2</v>
      </c>
      <c r="B6" s="36" t="inlineStr">
        <is>
          <t>Power Automate és RPA</t>
        </is>
      </c>
      <c r="C6" s="36" t="inlineStr">
        <is>
          <t>Power Automate Cloud flow haladó: kifejezések, feltételek, ciklusok; Desktop flow (RPA): UI automation, web automation; AI Builder; scheduled flow-k; approval workflow; SharePoint/Teams integráció; RPA governance</t>
        </is>
      </c>
      <c r="D6" s="36" t="inlineStr">
        <is>
          <t>Power Automate, Power Automate Desktop, AI Builder</t>
        </is>
      </c>
      <c r="E6" s="36" t="inlineStr">
        <is>
          <t>AI Builder: form processing, text classification; Copilot in Power Automate</t>
        </is>
      </c>
      <c r="F6" s="36" t="inlineStr">
        <is>
          <t>PL-500 Power Automate RPA Developer Associate (opcionális)</t>
        </is>
      </c>
      <c r="G6" s="36" t="inlineStr">
        <is>
          <t>Alapszint</t>
        </is>
      </c>
      <c r="H6" s="36" t="inlineStr">
        <is>
          <t>Power Automate Desktop ingyenes Windows 10/11. Kb. 16–20 óra.</t>
        </is>
      </c>
      <c r="I6" s="36" t="inlineStr">
        <is>
          <t>Masterfield / Training360</t>
        </is>
      </c>
      <c r="J6" s="37" t="n">
        <v>150000</v>
      </c>
      <c r="K6" s="37" t="n">
        <v>0</v>
      </c>
      <c r="L6" s="38">
        <f>J6+K6</f>
        <v/>
      </c>
      <c r="M6" s="36" t="inlineStr">
        <is>
          <t>2025 H2</t>
        </is>
      </c>
    </row>
    <row r="7">
      <c r="A7" s="67" t="n">
        <v>3</v>
      </c>
      <c r="B7" s="36" t="inlineStr">
        <is>
          <t>Power Apps alkalmazásfejlesztés</t>
        </is>
      </c>
      <c r="C7" s="36" t="inlineStr">
        <is>
          <t>Canvas app: képernyők, galériák, űrlapok; Power Fx; adatkapcsolatok: SharePoint, SQL, Dataverse; model-driven app; component library; responsive design; Power Apps Pages</t>
        </is>
      </c>
      <c r="D7" s="36" t="inlineStr">
        <is>
          <t>Power Apps, Dataverse, SharePoint, Power Fx</t>
        </is>
      </c>
      <c r="E7" s="36" t="inlineStr">
        <is>
          <t>Copilot in Power Apps: AI app generálás leírásból; természetes nyelvű formula</t>
        </is>
      </c>
      <c r="F7" s="36" t="inlineStr">
        <is>
          <t>PL-100 Power Platform App Maker Associate (opcionális)</t>
        </is>
      </c>
      <c r="G7" s="36" t="inlineStr">
        <is>
          <t>Alapszint</t>
        </is>
      </c>
      <c r="H7" s="36" t="inlineStr">
        <is>
          <t>Power Apps Developer Plan ingyenes. Kb. 20–24 óra.</t>
        </is>
      </c>
      <c r="I7" s="36" t="inlineStr">
        <is>
          <t>Masterfield / IQEDU</t>
        </is>
      </c>
      <c r="J7" s="37" t="n">
        <v>150000</v>
      </c>
      <c r="K7" s="37" t="n">
        <v>0</v>
      </c>
      <c r="L7" s="38">
        <f>J7+K7</f>
        <v/>
      </c>
      <c r="M7" s="36" t="inlineStr">
        <is>
          <t>2025 H2</t>
        </is>
      </c>
    </row>
    <row r="8">
      <c r="A8" s="67" t="n">
        <v>4</v>
      </c>
      <c r="B8" s="36" t="inlineStr">
        <is>
          <t>ServiceNow alapok</t>
        </is>
      </c>
      <c r="C8" s="36" t="inlineStr">
        <is>
          <t>ServiceNow platform: navigáció; Incident, Problem, Change modulok; Service Catalog; Knowledge Management; CMDB; riportok, dashboardok; Agent Workspace</t>
        </is>
      </c>
      <c r="D8" s="36" t="inlineStr">
        <is>
          <t>ServiceNow (Personal Developer Instance – ingyenes)</t>
        </is>
      </c>
      <c r="E8" s="36" t="inlineStr">
        <is>
          <t>ServiceNow AI: Virtual Agent, Predictive Intelligence, AI Search</t>
        </is>
      </c>
      <c r="F8" s="36" t="inlineStr">
        <is>
          <t>ServiceNow CSA (Certified System Administrator)</t>
        </is>
      </c>
      <c r="G8" s="36" t="inlineStr">
        <is>
          <t>Alapszint</t>
        </is>
      </c>
      <c r="H8" s="36" t="inlineStr">
        <is>
          <t>ServiceNow PDI ingyenes. Now Learning. Kb. 24–30 óra.</t>
        </is>
      </c>
      <c r="I8" s="36" t="inlineStr">
        <is>
          <t>IQEDU / Masterfield</t>
        </is>
      </c>
      <c r="J8" s="37" t="n">
        <v>180000</v>
      </c>
      <c r="K8" s="37" t="n">
        <v>76000</v>
      </c>
      <c r="L8" s="38">
        <f>J8+K8</f>
        <v/>
      </c>
      <c r="M8" s="36" t="inlineStr">
        <is>
          <t>2025 H2</t>
        </is>
      </c>
    </row>
    <row r="9">
      <c r="A9" s="68" t="inlineStr">
        <is>
          <t>KÖZÉPSZINT  |  Practitioner  —  Fejlesztő szint (1–3 év tapasztalat)</t>
        </is>
      </c>
      <c r="B9" s="60" t="n"/>
      <c r="C9" s="60" t="n"/>
      <c r="D9" s="60" t="n"/>
      <c r="E9" s="60" t="n"/>
      <c r="F9" s="60" t="n"/>
      <c r="G9" s="60" t="n"/>
      <c r="H9" s="60" t="n"/>
      <c r="I9" s="60" t="n"/>
      <c r="J9" s="60" t="n"/>
      <c r="K9" s="60" t="n"/>
      <c r="L9" s="60" t="n"/>
      <c r="M9" s="61" t="n"/>
    </row>
    <row r="10">
      <c r="A10" s="70" t="n">
        <v>5</v>
      </c>
      <c r="B10" s="39" t="inlineStr">
        <is>
          <t>Copilot Studio és AI agensek</t>
        </is>
      </c>
      <c r="C10" s="39" t="inlineStr">
        <is>
          <t>Copilot Studio: topic-ok, trigger-ek, generatív AI, Knowledge Sources; egyedi Copilot agens; publikálás Teams, SharePoint-ra; analytics; conversation design</t>
        </is>
      </c>
      <c r="D10" s="39" t="inlineStr">
        <is>
          <t>Copilot Studio, Power Platform, Teams, SharePoint</t>
        </is>
      </c>
      <c r="E10" s="39" t="inlineStr">
        <is>
          <t>Copilot Studio: generatív AI válaszok, egyedi knowledge base, topic routing</t>
        </is>
      </c>
      <c r="F10" s="39" t="inlineStr">
        <is>
          <t>Belső Copilot Studio workshop + agens POC</t>
        </is>
      </c>
      <c r="G10" s="39" t="inlineStr">
        <is>
          <t>Középszint</t>
        </is>
      </c>
      <c r="H10" s="39" t="inlineStr">
        <is>
          <t>Microsoft AI agent platform. Kb. 16–20 óra.</t>
        </is>
      </c>
      <c r="I10" s="39" t="inlineStr">
        <is>
          <t>Masterfield / IQEDU</t>
        </is>
      </c>
      <c r="J10" s="40" t="n">
        <v>180000</v>
      </c>
      <c r="K10" s="40" t="n">
        <v>0</v>
      </c>
      <c r="L10" s="41">
        <f>J10+K10</f>
        <v/>
      </c>
      <c r="M10" s="39" t="inlineStr">
        <is>
          <t>2026 H1</t>
        </is>
      </c>
    </row>
    <row r="11">
      <c r="A11" s="70" t="n">
        <v>6</v>
      </c>
      <c r="B11" s="39" t="inlineStr">
        <is>
          <t>Power Platform haladó és governance</t>
        </is>
      </c>
      <c r="C11" s="39" t="inlineStr">
        <is>
          <t>Admin center: environment, DLP policy; CoE Starter Kit; ALM: solution, pipelines; Azure integráció; custom connector; Dataverse haladó: business rules, security roles; telemetria</t>
        </is>
      </c>
      <c r="D11" s="39" t="inlineStr">
        <is>
          <t>Power Platform Admin Center, CoE Toolkit, Azure</t>
        </is>
      </c>
      <c r="E11" s="39" t="inlineStr">
        <is>
          <t>AI Builder haladó; Power Platform Copilot haladó</t>
        </is>
      </c>
      <c r="F11" s="39" t="inlineStr">
        <is>
          <t>PL-200 Power Platform Functional Consultant</t>
        </is>
      </c>
      <c r="G11" s="39" t="inlineStr">
        <is>
          <t>Középszint</t>
        </is>
      </c>
      <c r="H11" s="39" t="inlineStr">
        <is>
          <t>CoE Starter Kit ingyenes. Kb. 24–30 óra.</t>
        </is>
      </c>
      <c r="I11" s="39" t="inlineStr">
        <is>
          <t>Masterfield / IQEDU</t>
        </is>
      </c>
      <c r="J11" s="40" t="n">
        <v>200000</v>
      </c>
      <c r="K11" s="40" t="n">
        <v>62700</v>
      </c>
      <c r="L11" s="41">
        <f>J11+K11</f>
        <v/>
      </c>
      <c r="M11" s="39" t="inlineStr">
        <is>
          <t>2026 H1</t>
        </is>
      </c>
    </row>
    <row r="12">
      <c r="A12" s="70" t="n">
        <v>7</v>
      </c>
      <c r="B12" s="39" t="inlineStr">
        <is>
          <t>ServiceNow fejlesztés</t>
        </is>
      </c>
      <c r="C12" s="39" t="inlineStr">
        <is>
          <t>Flow Designer, IntegrationHub; Scripted REST API; Business Rules, Script Includes; GlideRecord; Service Portal; App Engine Studio; AI: Virtual Agent, Now Assist; Performance Analytics; ATF</t>
        </is>
      </c>
      <c r="D12" s="39" t="inlineStr">
        <is>
          <t>ServiceNow (PDI), JavaScript, Flow Designer, App Engine Studio</t>
        </is>
      </c>
      <c r="E12" s="39" t="inlineStr">
        <is>
          <t>ServiceNow AI: Predictive Intelligence, Virtual Agent, Generative AI; Now Assist</t>
        </is>
      </c>
      <c r="F12" s="39" t="inlineStr">
        <is>
          <t>ServiceNow CAD (Certified Application Developer)</t>
        </is>
      </c>
      <c r="G12" s="39" t="inlineStr">
        <is>
          <t>Középszint</t>
        </is>
      </c>
      <c r="H12" s="39" t="inlineStr">
        <is>
          <t>JavaScript alapok előfeltétel. Kb. 40 óra.</t>
        </is>
      </c>
      <c r="I12" s="39" t="inlineStr">
        <is>
          <t>IQEDU / Training360</t>
        </is>
      </c>
      <c r="J12" s="40" t="n">
        <v>250000</v>
      </c>
      <c r="K12" s="40" t="n">
        <v>76000</v>
      </c>
      <c r="L12" s="41">
        <f>J12+K12</f>
        <v/>
      </c>
      <c r="M12" s="39" t="inlineStr">
        <is>
          <t>2026 H1</t>
        </is>
      </c>
    </row>
    <row r="13">
      <c r="A13" s="70" t="n">
        <v>8</v>
      </c>
      <c r="B13" s="39" t="inlineStr">
        <is>
          <t>Üzleti folyamat automatizálás</t>
        </is>
      </c>
      <c r="C13" s="39" t="inlineStr">
        <is>
          <t>Automatizálási stratégia: folyamat assessment, kandidátus kiválasztás; ROI számítás; Process Mining: Celonis, MS Process Mining; end-to-end workflow; Change Management; center of automation</t>
        </is>
      </c>
      <c r="D13" s="39" t="inlineStr">
        <is>
          <t>Power Automate, n8n, Celonis, Make.com</t>
        </is>
      </c>
      <c r="E13" s="39" t="inlineStr">
        <is>
          <t>AI process mining és bottleneck azonosítás; n8n + Claude API workflow-k</t>
        </is>
      </c>
      <c r="F13" s="39" t="inlineStr">
        <is>
          <t>Belső Automation workshop + automatizálási ROI elemzés</t>
        </is>
      </c>
      <c r="G13" s="39" t="inlineStr">
        <is>
          <t>Középszint</t>
        </is>
      </c>
      <c r="H13" s="39" t="inlineStr">
        <is>
          <t>Process Mining egyre inkább standard. Kb. 16–20 óra.</t>
        </is>
      </c>
      <c r="I13" s="39" t="inlineStr">
        <is>
          <t>Training360 / Masterfield</t>
        </is>
      </c>
      <c r="J13" s="40" t="n">
        <v>150000</v>
      </c>
      <c r="K13" s="40" t="n">
        <v>0</v>
      </c>
      <c r="L13" s="41">
        <f>J13+K13</f>
        <v/>
      </c>
      <c r="M13" s="39" t="inlineStr">
        <is>
          <t>2026 H1</t>
        </is>
      </c>
    </row>
    <row r="14">
      <c r="A14" s="71" t="inlineStr">
        <is>
          <t>HALADÓ SZINT  |  Expert / Lead  —  Mester szint (3+ év tapasztalat)</t>
        </is>
      </c>
      <c r="B14" s="60" t="n"/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  <c r="L14" s="60" t="n"/>
      <c r="M14" s="61" t="n"/>
    </row>
    <row r="15">
      <c r="A15" s="73" t="n">
        <v>9</v>
      </c>
      <c r="B15" s="42" t="inlineStr">
        <is>
          <t>Enterprise integráció és API menedzsment</t>
        </is>
      </c>
      <c r="C15" s="42" t="inlineStr">
        <is>
          <t>Azure Integration Services: Logic Apps, API Management, Service Bus, Event Grid; Power Platform + Azure integráció; custom connector; API management; webhookok; B2B integráció</t>
        </is>
      </c>
      <c r="D15" s="42" t="inlineStr">
        <is>
          <t>Azure Logic Apps, API Management, Power Platform, Postman</t>
        </is>
      </c>
      <c r="E15" s="42" t="inlineStr">
        <is>
          <t>Claude: Logic App workflow és API policy generálás; integráció tervezet</t>
        </is>
      </c>
      <c r="F15" s="42" t="inlineStr">
        <is>
          <t>Azure Integration specialista belső program + POC</t>
        </is>
      </c>
      <c r="G15" s="42" t="inlineStr">
        <is>
          <t>Haladó szint</t>
        </is>
      </c>
      <c r="H15" s="42" t="inlineStr">
        <is>
          <t>Azure Integration Services haladó szint. Kb. 30–40 óra.</t>
        </is>
      </c>
      <c r="I15" s="42" t="inlineStr">
        <is>
          <t>Masterfield / NobleProg</t>
        </is>
      </c>
      <c r="J15" s="43" t="n">
        <v>300000</v>
      </c>
      <c r="K15" s="43" t="n">
        <v>0</v>
      </c>
      <c r="L15" s="44">
        <f>J15+K15</f>
        <v/>
      </c>
      <c r="M15" s="42" t="inlineStr">
        <is>
          <t>2026 H2</t>
        </is>
      </c>
    </row>
    <row r="16">
      <c r="A16" s="73" t="n">
        <v>10</v>
      </c>
      <c r="B16" s="42" t="inlineStr">
        <is>
          <t>AI-alapú üzleti alkalmazások</t>
        </is>
      </c>
      <c r="C16" s="42" t="inlineStr">
        <is>
          <t>AI Builder haladó: egyedi modellek, document automation; Copilot Studio + Power Automate kombinált megoldások; Computer Vision Power Apps-ban; AI etika low-code kontextusban</t>
        </is>
      </c>
      <c r="D16" s="42" t="inlineStr">
        <is>
          <t>Copilot Studio, AI Builder, Power Apps, Azure AI Services</t>
        </is>
      </c>
      <c r="E16" s="42" t="inlineStr">
        <is>
          <t>AI Builder + Copilot Studio: end-to-end AI üzleti alkalmazás</t>
        </is>
      </c>
      <c r="F16" s="42" t="inlineStr">
        <is>
          <t>AI-900 Azure AI Fundamentals + belső AI Low-code workshop</t>
        </is>
      </c>
      <c r="G16" s="42" t="inlineStr">
        <is>
          <t>Haladó szint</t>
        </is>
      </c>
      <c r="H16" s="42" t="inlineStr">
        <is>
          <t>AI Builder és Copilot Studio integrálás kulcs. Kb. 20–24 óra.</t>
        </is>
      </c>
      <c r="I16" s="42" t="inlineStr">
        <is>
          <t>Masterfield / IQEDU</t>
        </is>
      </c>
      <c r="J16" s="43" t="n">
        <v>180000</v>
      </c>
      <c r="K16" s="43" t="n">
        <v>37620</v>
      </c>
      <c r="L16" s="44">
        <f>J16+K16</f>
        <v/>
      </c>
      <c r="M16" s="42" t="inlineStr">
        <is>
          <t>2026 H2</t>
        </is>
      </c>
    </row>
    <row r="17">
      <c r="A17" s="73" t="n">
        <v>11</v>
      </c>
      <c r="B17" s="42" t="inlineStr">
        <is>
          <t>Digital transformation leadership</t>
        </is>
      </c>
      <c r="C17" s="42" t="inlineStr">
        <is>
          <t>Digitális transzformáció stratégia; citizen developer program és governance; CoE működtetés; adoption és change management; low-code vs. pro-code döntés; innovation lab; DX KPI-ok</t>
        </is>
      </c>
      <c r="D17" s="42" t="inlineStr">
        <is>
          <t>Confluence, Miro, Power BI, Power Platform Admin</t>
        </is>
      </c>
      <c r="E17" s="42" t="inlineStr">
        <is>
          <t>Claude: DX roadmap és stratégia generálás</t>
        </is>
      </c>
      <c r="F17" s="42" t="inlineStr">
        <is>
          <t>Belső Digital Transformation Leadership + CoE charter</t>
        </is>
      </c>
      <c r="G17" s="42" t="inlineStr">
        <is>
          <t>Haladó szint</t>
        </is>
      </c>
      <c r="H17" s="42" t="inlineStr">
        <is>
          <t>Change management tapasztalat szükséges. Kb. 20+ óra.</t>
        </is>
      </c>
      <c r="I17" s="42" t="inlineStr">
        <is>
          <t>Training360 / Belső</t>
        </is>
      </c>
      <c r="J17" s="43" t="n">
        <v>200000</v>
      </c>
      <c r="K17" s="43" t="n">
        <v>0</v>
      </c>
      <c r="L17" s="44">
        <f>J17+K17</f>
        <v/>
      </c>
      <c r="M17" s="42" t="inlineStr">
        <is>
          <t>2026 H2</t>
        </is>
      </c>
    </row>
    <row r="18">
      <c r="A18" s="48" t="n"/>
      <c r="B18" s="49" t="inlineStr">
        <is>
          <t>Alapszint összesen</t>
        </is>
      </c>
      <c r="C18" s="48" t="n"/>
      <c r="D18" s="48" t="n"/>
      <c r="E18" s="48" t="n"/>
      <c r="F18" s="48" t="n"/>
      <c r="G18" s="48" t="n"/>
      <c r="H18" s="48" t="n"/>
      <c r="I18" s="48" t="n"/>
      <c r="J18" s="50">
        <f>SUM(J5:J8)</f>
        <v/>
      </c>
      <c r="K18" s="50">
        <f>SUM(K5:K8)</f>
        <v/>
      </c>
      <c r="L18" s="50">
        <f>SUM(L5:L8)</f>
        <v/>
      </c>
      <c r="M18" s="48" t="n"/>
    </row>
    <row r="19">
      <c r="A19" s="51" t="n"/>
      <c r="B19" s="52" t="inlineStr">
        <is>
          <t>Középszint összesen</t>
        </is>
      </c>
      <c r="C19" s="51" t="n"/>
      <c r="D19" s="51" t="n"/>
      <c r="E19" s="51" t="n"/>
      <c r="F19" s="51" t="n"/>
      <c r="G19" s="51" t="n"/>
      <c r="H19" s="51" t="n"/>
      <c r="I19" s="51" t="n"/>
      <c r="J19" s="53">
        <f>SUM(J10:J13)</f>
        <v/>
      </c>
      <c r="K19" s="53">
        <f>SUM(K10:K13)</f>
        <v/>
      </c>
      <c r="L19" s="53">
        <f>SUM(L10:L13)</f>
        <v/>
      </c>
      <c r="M19" s="51" t="n"/>
    </row>
    <row r="20">
      <c r="A20" s="54" t="n"/>
      <c r="B20" s="55" t="inlineStr">
        <is>
          <t>Haladó szint összesen</t>
        </is>
      </c>
      <c r="C20" s="54" t="n"/>
      <c r="D20" s="54" t="n"/>
      <c r="E20" s="54" t="n"/>
      <c r="F20" s="54" t="n"/>
      <c r="G20" s="54" t="n"/>
      <c r="H20" s="54" t="n"/>
      <c r="I20" s="54" t="n"/>
      <c r="J20" s="56">
        <f>SUM(J15:J17)</f>
        <v/>
      </c>
      <c r="K20" s="56">
        <f>SUM(K15:K17)</f>
        <v/>
      </c>
      <c r="L20" s="56">
        <f>SUM(L15:L17)</f>
        <v/>
      </c>
      <c r="M20" s="54" t="n"/>
    </row>
    <row r="21">
      <c r="A21" s="57" t="n"/>
      <c r="B21" s="58" t="inlineStr">
        <is>
          <t>TELJES ÚTVONAL ÖSSZESEN</t>
        </is>
      </c>
      <c r="C21" s="57" t="n"/>
      <c r="D21" s="57" t="n"/>
      <c r="E21" s="57" t="n"/>
      <c r="F21" s="57" t="n"/>
      <c r="G21" s="57" t="n"/>
      <c r="H21" s="57" t="n"/>
      <c r="I21" s="57" t="n"/>
      <c r="J21" s="59">
        <f>J18+J19+J20</f>
        <v/>
      </c>
      <c r="K21" s="59">
        <f>K18+K19+K20</f>
        <v/>
      </c>
      <c r="L21" s="59">
        <f>L18+L19+L20</f>
        <v/>
      </c>
      <c r="M21" s="57" t="n"/>
    </row>
  </sheetData>
  <mergeCells count="5">
    <mergeCell ref="A14:M14"/>
    <mergeCell ref="A1:M1"/>
    <mergeCell ref="A9:M9"/>
    <mergeCell ref="A4:M4"/>
    <mergeCell ref="A2:M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48235"/>
    <outlinePr summaryBelow="1" summaryRight="1"/>
    <pageSetUpPr/>
  </sheetPr>
  <dimension ref="A1:M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style="20" min="1" max="1"/>
    <col width="16" customWidth="1" style="20" min="2" max="2"/>
    <col width="16" customWidth="1" style="20" min="3" max="3"/>
    <col width="16" customWidth="1" style="20" min="4" max="4"/>
    <col width="16" customWidth="1" style="20" min="5" max="5"/>
    <col width="16" customWidth="1" style="20" min="6" max="6"/>
    <col width="16" customWidth="1" style="20" min="7" max="7"/>
    <col width="18" customWidth="1" style="20" min="8" max="8"/>
    <col width="18" customWidth="1" style="20" min="9" max="9"/>
    <col width="20" customWidth="1" style="20" min="10" max="10"/>
    <col width="16" customWidth="1" style="20" min="11" max="11"/>
    <col width="16" customWidth="1" style="20" min="12" max="12"/>
    <col width="16" customWidth="1" style="20" min="13" max="13"/>
  </cols>
  <sheetData>
    <row r="1">
      <c r="A1" s="62" t="inlineStr">
        <is>
          <t>KÖLTSÉGVETÉS ÖSSZESÍTŐ — IT KÉPZÉSI UTAK 2025–2026</t>
        </is>
      </c>
      <c r="B1" s="63" t="n"/>
      <c r="C1" s="63" t="n"/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</row>
    <row r="2">
      <c r="A2" s="64" t="inlineStr">
        <is>
          <t>Minden összeg nettó Ft-ban  |  1 USD ≈ 380 Ft, 1 EUR ≈ 410 Ft  |  Verzió: 2.0 (v3)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</row>
    <row r="4">
      <c r="A4" s="78" t="inlineStr">
        <is>
          <t>Munkakör</t>
        </is>
      </c>
      <c r="B4" s="78" t="inlineStr">
        <is>
          <t>Alap képzési díj</t>
        </is>
      </c>
      <c r="C4" s="78" t="inlineStr">
        <is>
          <t>Alap vizsgadíj</t>
        </is>
      </c>
      <c r="D4" s="78" t="inlineStr">
        <is>
          <t>Közép képzési díj</t>
        </is>
      </c>
      <c r="E4" s="78" t="inlineStr">
        <is>
          <t>Közép vizsgadíj</t>
        </is>
      </c>
      <c r="F4" s="78" t="inlineStr">
        <is>
          <t>Haladó képzési díj</t>
        </is>
      </c>
      <c r="G4" s="78" t="inlineStr">
        <is>
          <t>Haladó vizsgadíj</t>
        </is>
      </c>
      <c r="H4" s="78" t="inlineStr">
        <is>
          <t>Össz. képzési díj</t>
        </is>
      </c>
      <c r="I4" s="78" t="inlineStr">
        <is>
          <t>Össz. vizsgadíj</t>
        </is>
      </c>
      <c r="J4" s="78" t="inlineStr">
        <is>
          <t>TELJES KÖLTSÉG/FŐ</t>
        </is>
      </c>
      <c r="K4" s="78" t="inlineStr">
        <is>
          <t>1 fő</t>
        </is>
      </c>
      <c r="L4" s="78" t="inlineStr">
        <is>
          <t>3 fő</t>
        </is>
      </c>
      <c r="M4" s="78" t="inlineStr">
        <is>
          <t>5 fő</t>
        </is>
      </c>
    </row>
    <row r="5">
      <c r="A5" s="80" t="inlineStr">
        <is>
          <t>Közös Alaptanterv</t>
        </is>
      </c>
      <c r="B5" s="81" t="n">
        <v>352500</v>
      </c>
      <c r="C5" s="81" t="n">
        <v>0</v>
      </c>
      <c r="D5" s="81" t="n">
        <v>0</v>
      </c>
      <c r="E5" s="81" t="n">
        <v>0</v>
      </c>
      <c r="F5" s="81" t="n">
        <v>608000</v>
      </c>
      <c r="G5" s="81" t="n">
        <v>0</v>
      </c>
      <c r="H5" s="82">
        <f>B5+D5+F5</f>
        <v/>
      </c>
      <c r="I5" s="82">
        <f>C5+E5+G5</f>
        <v/>
      </c>
      <c r="J5" s="82">
        <f>H5+I5</f>
        <v/>
      </c>
      <c r="K5" s="81">
        <f>J5</f>
        <v/>
      </c>
      <c r="L5" s="81">
        <f>J5*3</f>
        <v/>
      </c>
      <c r="M5" s="81">
        <f>J5*5</f>
        <v/>
      </c>
    </row>
    <row r="6">
      <c r="A6" s="83" t="inlineStr">
        <is>
          <t xml:space="preserve">  + Alaptanterv bővítmények</t>
        </is>
      </c>
      <c r="B6" s="84" t="n">
        <v>338000</v>
      </c>
      <c r="C6" s="84" t="n">
        <v>0</v>
      </c>
      <c r="D6" s="84" t="n">
        <v>134500</v>
      </c>
      <c r="E6" s="84" t="n">
        <v>0</v>
      </c>
      <c r="F6" s="84" t="n">
        <v>0</v>
      </c>
      <c r="G6" s="84" t="n">
        <v>0</v>
      </c>
      <c r="H6" s="85">
        <f>B6+D6+F6</f>
        <v/>
      </c>
      <c r="I6" s="85">
        <f>C6+E6+G6</f>
        <v/>
      </c>
      <c r="J6" s="85">
        <f>H6+I6</f>
        <v/>
      </c>
      <c r="K6" s="84">
        <f>J6</f>
        <v/>
      </c>
      <c r="L6" s="84">
        <f>J6*3</f>
        <v/>
      </c>
      <c r="M6" s="84">
        <f>J6*5</f>
        <v/>
      </c>
    </row>
    <row r="7">
      <c r="A7" s="74" t="inlineStr">
        <is>
          <t>Rendszerszervező</t>
        </is>
      </c>
      <c r="B7" s="81" t="n">
        <v>480000</v>
      </c>
      <c r="C7" s="81" t="n">
        <v>285000</v>
      </c>
      <c r="D7" s="81" t="n">
        <v>830000</v>
      </c>
      <c r="E7" s="81" t="n">
        <v>341000</v>
      </c>
      <c r="F7" s="81" t="n">
        <v>1200000</v>
      </c>
      <c r="G7" s="81" t="n">
        <v>275500</v>
      </c>
      <c r="H7" s="82">
        <f>B7+D7+F7</f>
        <v/>
      </c>
      <c r="I7" s="82">
        <f>C7+E7+G7</f>
        <v/>
      </c>
      <c r="J7" s="82">
        <f>H7+I7</f>
        <v/>
      </c>
      <c r="K7" s="81">
        <f>J7</f>
        <v/>
      </c>
      <c r="L7" s="81">
        <f>J7*3</f>
        <v/>
      </c>
      <c r="M7" s="81">
        <f>J7*5</f>
        <v/>
      </c>
    </row>
    <row r="8">
      <c r="A8" s="75" t="inlineStr">
        <is>
          <t>IT SLA Management &amp; Risk</t>
        </is>
      </c>
      <c r="B8" s="84" t="n">
        <v>570000</v>
      </c>
      <c r="C8" s="84" t="n">
        <v>285000</v>
      </c>
      <c r="D8" s="84" t="n">
        <v>800000</v>
      </c>
      <c r="E8" s="84" t="n">
        <v>190000</v>
      </c>
      <c r="F8" s="84" t="n">
        <v>940000</v>
      </c>
      <c r="G8" s="84" t="n">
        <v>437000</v>
      </c>
      <c r="H8" s="85">
        <f>B8+D8+F8</f>
        <v/>
      </c>
      <c r="I8" s="85">
        <f>C8+E8+G8</f>
        <v/>
      </c>
      <c r="J8" s="85">
        <f>H8+I8</f>
        <v/>
      </c>
      <c r="K8" s="84">
        <f>J8</f>
        <v/>
      </c>
      <c r="L8" s="84">
        <f>J8*3</f>
        <v/>
      </c>
      <c r="M8" s="84">
        <f>J8*5</f>
        <v/>
      </c>
    </row>
    <row r="9">
      <c r="A9" s="74" t="inlineStr">
        <is>
          <t>Agile – PO / Scrum / PM</t>
        </is>
      </c>
      <c r="B9" s="81" t="n">
        <v>270000</v>
      </c>
      <c r="C9" s="81" t="n">
        <v>152000</v>
      </c>
      <c r="D9" s="81" t="n">
        <v>800000</v>
      </c>
      <c r="E9" s="81" t="n">
        <v>394000</v>
      </c>
      <c r="F9" s="81" t="n">
        <v>1150000</v>
      </c>
      <c r="G9" s="81" t="n">
        <v>0</v>
      </c>
      <c r="H9" s="82">
        <f>B9+D9+F9</f>
        <v/>
      </c>
      <c r="I9" s="82">
        <f>C9+E9+G9</f>
        <v/>
      </c>
      <c r="J9" s="82">
        <f>H9+I9</f>
        <v/>
      </c>
      <c r="K9" s="81">
        <f>J9</f>
        <v/>
      </c>
      <c r="L9" s="81">
        <f>J9*3</f>
        <v/>
      </c>
      <c r="M9" s="81">
        <f>J9*5</f>
        <v/>
      </c>
    </row>
    <row r="10">
      <c r="A10" s="75" t="inlineStr">
        <is>
          <t>Tesztkoordináció &amp; Tesztelés</t>
        </is>
      </c>
      <c r="B10" s="84" t="n">
        <v>440000</v>
      </c>
      <c r="C10" s="84" t="n">
        <v>81250</v>
      </c>
      <c r="D10" s="84" t="n">
        <v>688000</v>
      </c>
      <c r="E10" s="84" t="n">
        <v>152000</v>
      </c>
      <c r="F10" s="84" t="n">
        <v>688000</v>
      </c>
      <c r="G10" s="84" t="n">
        <v>102600</v>
      </c>
      <c r="H10" s="85">
        <f>B10+D10+F10</f>
        <v/>
      </c>
      <c r="I10" s="85">
        <f>C10+E10+G10</f>
        <v/>
      </c>
      <c r="J10" s="85">
        <f>H10+I10</f>
        <v/>
      </c>
      <c r="K10" s="84">
        <f>J10</f>
        <v/>
      </c>
      <c r="L10" s="84">
        <f>J10*3</f>
        <v/>
      </c>
      <c r="M10" s="84">
        <f>J10*5</f>
        <v/>
      </c>
    </row>
    <row r="11">
      <c r="A11" s="74" t="inlineStr">
        <is>
          <t>Projektmenedzsment</t>
        </is>
      </c>
      <c r="B11" s="81" t="n">
        <v>620000</v>
      </c>
      <c r="C11" s="81" t="n">
        <v>228000</v>
      </c>
      <c r="D11" s="81" t="n">
        <v>1130000</v>
      </c>
      <c r="E11" s="81" t="n">
        <v>210900</v>
      </c>
      <c r="F11" s="81" t="n">
        <v>800000</v>
      </c>
      <c r="G11" s="81" t="n">
        <v>326800</v>
      </c>
      <c r="H11" s="82">
        <f>B11+D11+F11</f>
        <v/>
      </c>
      <c r="I11" s="82">
        <f>C11+E11+G11</f>
        <v/>
      </c>
      <c r="J11" s="82">
        <f>H11+I11</f>
        <v/>
      </c>
      <c r="K11" s="81">
        <f>J11</f>
        <v/>
      </c>
      <c r="L11" s="81">
        <f>J11*3</f>
        <v/>
      </c>
      <c r="M11" s="81">
        <f>J11*5</f>
        <v/>
      </c>
    </row>
    <row r="12">
      <c r="A12" s="75" t="inlineStr">
        <is>
          <t>Solution Architect</t>
        </is>
      </c>
      <c r="B12" s="84" t="n">
        <v>717000</v>
      </c>
      <c r="C12" s="84" t="n">
        <v>246620</v>
      </c>
      <c r="D12" s="84" t="n">
        <v>1300000</v>
      </c>
      <c r="E12" s="84" t="n">
        <v>503500</v>
      </c>
      <c r="F12" s="84" t="n">
        <v>900000</v>
      </c>
      <c r="G12" s="84" t="n">
        <v>62700</v>
      </c>
      <c r="H12" s="85">
        <f>B12+D12+F12</f>
        <v/>
      </c>
      <c r="I12" s="85">
        <f>C12+E12+G12</f>
        <v/>
      </c>
      <c r="J12" s="85">
        <f>H12+I12</f>
        <v/>
      </c>
      <c r="K12" s="84">
        <f>J12</f>
        <v/>
      </c>
      <c r="L12" s="84">
        <f>J12*3</f>
        <v/>
      </c>
      <c r="M12" s="84">
        <f>J12*5</f>
        <v/>
      </c>
    </row>
    <row r="13">
      <c r="A13" s="74" t="inlineStr">
        <is>
          <t>Data Engineer &amp; Analytics</t>
        </is>
      </c>
      <c r="B13" s="81" t="n">
        <v>659000</v>
      </c>
      <c r="C13" s="81" t="n">
        <v>100620</v>
      </c>
      <c r="D13" s="81" t="n">
        <v>960000</v>
      </c>
      <c r="E13" s="81" t="n">
        <v>209000</v>
      </c>
      <c r="F13" s="81" t="n">
        <v>830000</v>
      </c>
      <c r="G13" s="81" t="n">
        <v>152000</v>
      </c>
      <c r="H13" s="82">
        <f>B13+D13+F13</f>
        <v/>
      </c>
      <c r="I13" s="82">
        <f>C13+E13+G13</f>
        <v/>
      </c>
      <c r="J13" s="82">
        <f>H13+I13</f>
        <v/>
      </c>
      <c r="K13" s="81">
        <f>J13</f>
        <v/>
      </c>
      <c r="L13" s="81">
        <f>J13*3</f>
        <v/>
      </c>
      <c r="M13" s="81">
        <f>J13*5</f>
        <v/>
      </c>
    </row>
    <row r="14">
      <c r="A14" s="75" t="inlineStr">
        <is>
          <t>Cybersecurity Specialist</t>
        </is>
      </c>
      <c r="B14" s="84" t="n">
        <v>730000</v>
      </c>
      <c r="C14" s="84" t="n">
        <v>323000</v>
      </c>
      <c r="D14" s="84" t="n">
        <v>1150000</v>
      </c>
      <c r="E14" s="84" t="n">
        <v>328700</v>
      </c>
      <c r="F14" s="84" t="n">
        <v>1145000</v>
      </c>
      <c r="G14" s="84" t="n">
        <v>655500</v>
      </c>
      <c r="H14" s="85">
        <f>B14+D14+F14</f>
        <v/>
      </c>
      <c r="I14" s="85">
        <f>C14+E14+G14</f>
        <v/>
      </c>
      <c r="J14" s="85">
        <f>H14+I14</f>
        <v/>
      </c>
      <c r="K14" s="84">
        <f>J14</f>
        <v/>
      </c>
      <c r="L14" s="84">
        <f>J14*3</f>
        <v/>
      </c>
      <c r="M14" s="84">
        <f>J14*5</f>
        <v/>
      </c>
    </row>
    <row r="15">
      <c r="A15" s="74" t="inlineStr">
        <is>
          <t>Platform Engineer / DevOps</t>
        </is>
      </c>
      <c r="B15" s="81" t="n">
        <v>517000</v>
      </c>
      <c r="C15" s="81" t="n">
        <v>37620</v>
      </c>
      <c r="D15" s="81" t="n">
        <v>838000</v>
      </c>
      <c r="E15" s="81" t="n">
        <v>226100</v>
      </c>
      <c r="F15" s="81" t="n">
        <v>950000</v>
      </c>
      <c r="G15" s="81" t="n">
        <v>231800</v>
      </c>
      <c r="H15" s="82">
        <f>B15+D15+F15</f>
        <v/>
      </c>
      <c r="I15" s="82">
        <f>C15+E15+G15</f>
        <v/>
      </c>
      <c r="J15" s="82">
        <f>H15+I15</f>
        <v/>
      </c>
      <c r="K15" s="81">
        <f>J15</f>
        <v/>
      </c>
      <c r="L15" s="81">
        <f>J15*3</f>
        <v/>
      </c>
      <c r="M15" s="81">
        <f>J15*5</f>
        <v/>
      </c>
    </row>
    <row r="16">
      <c r="A16" s="75" t="inlineStr">
        <is>
          <t>AI/ML Engineer</t>
        </is>
      </c>
      <c r="B16" s="84" t="n">
        <v>679000</v>
      </c>
      <c r="C16" s="84" t="n">
        <v>0</v>
      </c>
      <c r="D16" s="84" t="n">
        <v>1100000</v>
      </c>
      <c r="E16" s="84" t="n">
        <v>62700</v>
      </c>
      <c r="F16" s="84" t="n">
        <v>900000</v>
      </c>
      <c r="G16" s="84" t="n">
        <v>152000</v>
      </c>
      <c r="H16" s="85">
        <f>B16+D16+F16</f>
        <v/>
      </c>
      <c r="I16" s="85">
        <f>C16+E16+G16</f>
        <v/>
      </c>
      <c r="J16" s="85">
        <f>H16+I16</f>
        <v/>
      </c>
      <c r="K16" s="84">
        <f>J16</f>
        <v/>
      </c>
      <c r="L16" s="84">
        <f>J16*3</f>
        <v/>
      </c>
      <c r="M16" s="84">
        <f>J16*5</f>
        <v/>
      </c>
    </row>
    <row r="17">
      <c r="A17" s="74" t="inlineStr">
        <is>
          <t>Low-code / Citizen Developer</t>
        </is>
      </c>
      <c r="B17" s="81" t="n">
        <v>614500</v>
      </c>
      <c r="C17" s="81" t="n">
        <v>113620</v>
      </c>
      <c r="D17" s="81" t="n">
        <v>780000</v>
      </c>
      <c r="E17" s="81" t="n">
        <v>138700</v>
      </c>
      <c r="F17" s="81" t="n">
        <v>680000</v>
      </c>
      <c r="G17" s="81" t="n">
        <v>37620</v>
      </c>
      <c r="H17" s="82">
        <f>B17+D17+F17</f>
        <v/>
      </c>
      <c r="I17" s="82">
        <f>C17+E17+G17</f>
        <v/>
      </c>
      <c r="J17" s="82">
        <f>H17+I17</f>
        <v/>
      </c>
      <c r="K17" s="81">
        <f>J17</f>
        <v/>
      </c>
      <c r="L17" s="81">
        <f>J17*3</f>
        <v/>
      </c>
      <c r="M17" s="81">
        <f>J17*5</f>
        <v/>
      </c>
    </row>
    <row r="18">
      <c r="A18" s="86" t="inlineStr">
        <is>
          <t>ÖSSZESEN</t>
        </is>
      </c>
      <c r="B18" s="59">
        <f>SUM(B5:B17)</f>
        <v/>
      </c>
      <c r="C18" s="59">
        <f>SUM(C5:C17)</f>
        <v/>
      </c>
      <c r="D18" s="59">
        <f>SUM(D5:D17)</f>
        <v/>
      </c>
      <c r="E18" s="59">
        <f>SUM(E5:E17)</f>
        <v/>
      </c>
      <c r="F18" s="59">
        <f>SUM(F5:F17)</f>
        <v/>
      </c>
      <c r="G18" s="59">
        <f>SUM(G5:G17)</f>
        <v/>
      </c>
      <c r="H18" s="59">
        <f>SUM(H5:H17)</f>
        <v/>
      </c>
      <c r="I18" s="59">
        <f>SUM(I5:I17)</f>
        <v/>
      </c>
      <c r="J18" s="59">
        <f>SUM(J5:J17)</f>
        <v/>
      </c>
      <c r="K18" s="59">
        <f>SUM(K5:K17)</f>
        <v/>
      </c>
      <c r="L18" s="59">
        <f>SUM(L5:L17)</f>
        <v/>
      </c>
      <c r="M18" s="59">
        <f>SUM(M5:M17)</f>
        <v/>
      </c>
    </row>
    <row r="20">
      <c r="A20" s="87" t="inlineStr">
        <is>
          <t>Megjegyzés: A fenti összegek becsült nettó árak. A tényleges költségek a képzőhelyek aktuális árlistái alapján változhatnak. Csoportos kedvezmény 3+ fő esetén általában 10-15%.</t>
        </is>
      </c>
    </row>
  </sheetData>
  <mergeCells count="3">
    <mergeCell ref="A20:M20"/>
    <mergeCell ref="A2:M2"/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030A0"/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style="20" min="1" max="1"/>
    <col width="12" customWidth="1" style="20" min="2" max="2"/>
    <col width="22" customWidth="1" style="20" min="3" max="3"/>
    <col width="22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</cols>
  <sheetData>
    <row r="1">
      <c r="A1" s="62" t="inlineStr">
        <is>
          <t>ÜTEMTERV — 18 HÓNAPOS KÉPZÉSI PROGRAM</t>
        </is>
      </c>
      <c r="B1" s="63" t="n"/>
      <c r="C1" s="63" t="n"/>
      <c r="D1" s="63" t="n"/>
      <c r="E1" s="63" t="n"/>
      <c r="F1" s="63" t="n"/>
      <c r="G1" s="63" t="n"/>
      <c r="H1" s="63" t="n"/>
    </row>
    <row r="2">
      <c r="A2" s="64" t="inlineStr">
        <is>
          <t>2025 H2 – 2026 H2  |  Negyedéves bontás  |  Heti 8 óra tanulási idő</t>
        </is>
      </c>
      <c r="B2" s="63" t="n"/>
      <c r="C2" s="63" t="n"/>
      <c r="D2" s="63" t="n"/>
      <c r="E2" s="63" t="n"/>
      <c r="F2" s="63" t="n"/>
      <c r="G2" s="63" t="n"/>
      <c r="H2" s="63" t="n"/>
    </row>
    <row r="4">
      <c r="A4" s="78" t="inlineStr">
        <is>
          <t>Témakör</t>
        </is>
      </c>
      <c r="B4" s="78" t="inlineStr">
        <is>
          <t>Szint</t>
        </is>
      </c>
      <c r="C4" s="78" t="inlineStr">
        <is>
          <t>2025 Q3
(júl–szept)</t>
        </is>
      </c>
      <c r="D4" s="78" t="inlineStr">
        <is>
          <t>2025 Q4
(okt–dec)</t>
        </is>
      </c>
      <c r="E4" s="78" t="inlineStr">
        <is>
          <t>2026 Q1
(jan–márc)</t>
        </is>
      </c>
      <c r="F4" s="78" t="inlineStr">
        <is>
          <t>2026 Q2
(ápr–jún)</t>
        </is>
      </c>
      <c r="G4" s="78" t="inlineStr">
        <is>
          <t>2026 Q3
(júl–szept)</t>
        </is>
      </c>
      <c r="H4" s="78" t="inlineStr">
        <is>
          <t>2026 Q4
(okt–dec)</t>
        </is>
      </c>
    </row>
    <row r="5">
      <c r="A5" s="36" t="inlineStr">
        <is>
          <t>Közös AI alaptanterv (AI alapok, Prompt Eng, Claude Code)</t>
        </is>
      </c>
      <c r="B5" s="67" t="inlineStr">
        <is>
          <t>Alap</t>
        </is>
      </c>
      <c r="C5" s="88" t="inlineStr">
        <is>
          <t>●</t>
        </is>
      </c>
      <c r="D5" s="88" t="inlineStr">
        <is>
          <t>●</t>
        </is>
      </c>
      <c r="E5" s="67" t="n"/>
      <c r="F5" s="67" t="n"/>
      <c r="G5" s="67" t="n"/>
      <c r="H5" s="67" t="n"/>
    </row>
    <row r="6">
      <c r="A6" s="36" t="inlineStr">
        <is>
          <t>Microsoft 365 Copilot, Miro AI, Draw.io MCP</t>
        </is>
      </c>
      <c r="B6" s="67" t="inlineStr">
        <is>
          <t>Alap/Közép</t>
        </is>
      </c>
      <c r="C6" s="67" t="n"/>
      <c r="D6" s="88" t="inlineStr">
        <is>
          <t>●</t>
        </is>
      </c>
      <c r="E6" s="88" t="inlineStr">
        <is>
          <t>●</t>
        </is>
      </c>
      <c r="F6" s="67" t="n"/>
      <c r="G6" s="67" t="n"/>
      <c r="H6" s="67" t="n"/>
    </row>
    <row r="7">
      <c r="A7" s="36" t="inlineStr">
        <is>
          <t>Foundation cert-ek (ITIL 4, PSM I, PSPO I, ISTQB CTFL, AZ-900)</t>
        </is>
      </c>
      <c r="B7" s="67" t="inlineStr">
        <is>
          <t>Alap</t>
        </is>
      </c>
      <c r="C7" s="88" t="inlineStr">
        <is>
          <t>●</t>
        </is>
      </c>
      <c r="D7" s="88" t="inlineStr">
        <is>
          <t>●</t>
        </is>
      </c>
      <c r="E7" s="67" t="n"/>
      <c r="F7" s="67" t="n"/>
      <c r="G7" s="67" t="n"/>
      <c r="H7" s="67" t="n"/>
    </row>
    <row r="8">
      <c r="A8" s="36" t="inlineStr">
        <is>
          <t>Git/CI-CD alapok, IT Security awareness</t>
        </is>
      </c>
      <c r="B8" s="67" t="inlineStr">
        <is>
          <t>Alap</t>
        </is>
      </c>
      <c r="C8" s="67" t="n"/>
      <c r="D8" s="88" t="inlineStr">
        <is>
          <t>●</t>
        </is>
      </c>
      <c r="E8" s="67" t="n"/>
      <c r="F8" s="67" t="n"/>
      <c r="G8" s="67" t="n"/>
      <c r="H8" s="67" t="n"/>
    </row>
    <row r="9">
      <c r="A9" s="36" t="inlineStr">
        <is>
          <t>Munkakör-specifikus alap kurzusok (1-4)</t>
        </is>
      </c>
      <c r="B9" s="67" t="inlineStr">
        <is>
          <t>Alap</t>
        </is>
      </c>
      <c r="C9" s="88" t="inlineStr">
        <is>
          <t>●</t>
        </is>
      </c>
      <c r="D9" s="88" t="inlineStr">
        <is>
          <t>●</t>
        </is>
      </c>
      <c r="E9" s="67" t="n"/>
      <c r="F9" s="67" t="n"/>
      <c r="G9" s="67" t="n"/>
      <c r="H9" s="67" t="n"/>
    </row>
    <row r="10">
      <c r="A10" s="39" t="inlineStr">
        <is>
          <t>Szakterületi közép kurzusok indítása</t>
        </is>
      </c>
      <c r="B10" s="70" t="inlineStr">
        <is>
          <t>Közép</t>
        </is>
      </c>
      <c r="C10" s="70" t="n"/>
      <c r="D10" s="70" t="n"/>
      <c r="E10" s="89" t="inlineStr">
        <is>
          <t>●</t>
        </is>
      </c>
      <c r="F10" s="89" t="inlineStr">
        <is>
          <t>●</t>
        </is>
      </c>
      <c r="G10" s="70" t="n"/>
      <c r="H10" s="70" t="n"/>
    </row>
    <row r="11">
      <c r="A11" s="39" t="inlineStr">
        <is>
          <t>MCP protokoll haladó, Figma/Confluence AI</t>
        </is>
      </c>
      <c r="B11" s="70" t="inlineStr">
        <is>
          <t>Közép</t>
        </is>
      </c>
      <c r="C11" s="70" t="n"/>
      <c r="D11" s="70" t="n"/>
      <c r="E11" s="89" t="inlineStr">
        <is>
          <t>●</t>
        </is>
      </c>
      <c r="F11" s="70" t="n"/>
      <c r="G11" s="70" t="n"/>
      <c r="H11" s="70" t="n"/>
    </row>
    <row r="12">
      <c r="A12" s="39" t="inlineStr">
        <is>
          <t>AI Agents &amp; automatizáció (n8n, LangChain)</t>
        </is>
      </c>
      <c r="B12" s="70" t="inlineStr">
        <is>
          <t>Közép</t>
        </is>
      </c>
      <c r="C12" s="70" t="n"/>
      <c r="D12" s="70" t="n"/>
      <c r="E12" s="70" t="n"/>
      <c r="F12" s="89" t="inlineStr">
        <is>
          <t>●</t>
        </is>
      </c>
      <c r="G12" s="70" t="n"/>
      <c r="H12" s="70" t="n"/>
    </row>
    <row r="13">
      <c r="A13" s="39" t="inlineStr">
        <is>
          <t>Középszintű vizsgák (PL-300, SAFe SP, AWS SAA, PSPO II)</t>
        </is>
      </c>
      <c r="B13" s="70" t="inlineStr">
        <is>
          <t>Közép</t>
        </is>
      </c>
      <c r="C13" s="70" t="n"/>
      <c r="D13" s="70" t="n"/>
      <c r="E13" s="70" t="n"/>
      <c r="F13" s="89" t="inlineStr">
        <is>
          <t>●</t>
        </is>
      </c>
      <c r="G13" s="70" t="n"/>
      <c r="H13" s="70" t="n"/>
    </row>
    <row r="14">
      <c r="A14" s="42" t="inlineStr">
        <is>
          <t>Haladó cert felkészítők (PMP, CRISC, TOGAF, CKA)</t>
        </is>
      </c>
      <c r="B14" s="73" t="inlineStr">
        <is>
          <t>Haladó</t>
        </is>
      </c>
      <c r="C14" s="73" t="n"/>
      <c r="D14" s="73" t="n"/>
      <c r="E14" s="73" t="n"/>
      <c r="F14" s="73" t="n"/>
      <c r="G14" s="90" t="inlineStr">
        <is>
          <t>●</t>
        </is>
      </c>
      <c r="H14" s="73" t="n"/>
    </row>
    <row r="15">
      <c r="A15" s="42" t="inlineStr">
        <is>
          <t>AI biztonság és governance (ISO 42001)</t>
        </is>
      </c>
      <c r="B15" s="73" t="inlineStr">
        <is>
          <t>Haladó</t>
        </is>
      </c>
      <c r="C15" s="73" t="n"/>
      <c r="D15" s="73" t="n"/>
      <c r="E15" s="73" t="n"/>
      <c r="F15" s="73" t="n"/>
      <c r="G15" s="90" t="inlineStr">
        <is>
          <t>●</t>
        </is>
      </c>
      <c r="H15" s="73" t="n"/>
    </row>
    <row r="16">
      <c r="A16" s="42" t="inlineStr">
        <is>
          <t>Haladó vizsgák</t>
        </is>
      </c>
      <c r="B16" s="73" t="inlineStr">
        <is>
          <t>Haladó</t>
        </is>
      </c>
      <c r="C16" s="73" t="n"/>
      <c r="D16" s="73" t="n"/>
      <c r="E16" s="73" t="n"/>
      <c r="F16" s="73" t="n"/>
      <c r="G16" s="73" t="n"/>
      <c r="H16" s="90" t="inlineStr">
        <is>
          <t>●</t>
        </is>
      </c>
    </row>
    <row r="17">
      <c r="A17" s="42" t="inlineStr">
        <is>
          <t>Mentoring, leadership, tudásátadás</t>
        </is>
      </c>
      <c r="B17" s="73" t="inlineStr">
        <is>
          <t>Haladó</t>
        </is>
      </c>
      <c r="C17" s="73" t="n"/>
      <c r="D17" s="73" t="n"/>
      <c r="E17" s="73" t="n"/>
      <c r="F17" s="73" t="n"/>
      <c r="G17" s="73" t="n"/>
      <c r="H17" s="90" t="inlineStr">
        <is>
          <t>●</t>
        </is>
      </c>
    </row>
    <row r="18">
      <c r="A18" s="42" t="inlineStr">
        <is>
          <t>Program értékelés és 2027 tervezés</t>
        </is>
      </c>
      <c r="B18" s="73" t="inlineStr">
        <is>
          <t>—</t>
        </is>
      </c>
      <c r="C18" s="73" t="n"/>
      <c r="D18" s="73" t="n"/>
      <c r="E18" s="73" t="n"/>
      <c r="F18" s="73" t="n"/>
      <c r="G18" s="73" t="n"/>
      <c r="H18" s="90" t="inlineStr">
        <is>
          <t>●</t>
        </is>
      </c>
    </row>
    <row r="20">
      <c r="A20" s="91" t="inlineStr">
        <is>
          <t>Jelmagyarázat:</t>
        </is>
      </c>
    </row>
    <row r="21">
      <c r="A21" s="92" t="inlineStr">
        <is>
          <t>● Kék = Alapszint</t>
        </is>
      </c>
    </row>
    <row r="22">
      <c r="A22" s="93" t="inlineStr">
        <is>
          <t>● Sárga = Középszint</t>
        </is>
      </c>
    </row>
    <row r="23">
      <c r="A23" s="94" t="inlineStr">
        <is>
          <t>● Zöld = Haladó szint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BF8F00"/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style="20" min="1" max="1"/>
    <col width="25" customWidth="1" style="20" min="2" max="2"/>
    <col width="28" customWidth="1" style="20" min="3" max="3"/>
    <col width="50" customWidth="1" style="20" min="4" max="4"/>
    <col width="16" customWidth="1" style="20" min="5" max="5"/>
    <col width="14" customWidth="1" style="20" min="6" max="6"/>
    <col width="45" customWidth="1" style="20" min="7" max="7"/>
  </cols>
  <sheetData>
    <row r="1">
      <c r="A1" s="62" t="inlineStr">
        <is>
          <t>KÉPZŐHELYEK KATALÓGUS — MAGYAR IT KÉPZÉSI SZOLGÁLTATÓK</t>
        </is>
      </c>
      <c r="B1" s="63" t="n"/>
      <c r="C1" s="63" t="n"/>
      <c r="D1" s="63" t="n"/>
      <c r="E1" s="63" t="n"/>
      <c r="F1" s="63" t="n"/>
      <c r="G1" s="63" t="n"/>
    </row>
    <row r="2">
      <c r="A2" s="64" t="inlineStr">
        <is>
          <t>Árak és elérhetőségek 2025. évi állapot szerint  |  Rendszeres felülvizsgálat szükséges</t>
        </is>
      </c>
      <c r="B2" s="63" t="n"/>
      <c r="C2" s="63" t="n"/>
      <c r="D2" s="63" t="n"/>
      <c r="E2" s="63" t="n"/>
      <c r="F2" s="63" t="n"/>
      <c r="G2" s="63" t="n"/>
    </row>
    <row r="4">
      <c r="A4" s="78" t="inlineStr">
        <is>
          <t>#</t>
        </is>
      </c>
      <c r="B4" s="78" t="inlineStr">
        <is>
          <t>Képzőhely neve</t>
        </is>
      </c>
      <c r="C4" s="78" t="inlineStr">
        <is>
          <t>Weboldal</t>
        </is>
      </c>
      <c r="D4" s="78" t="inlineStr">
        <is>
          <t>Fő szakterületek</t>
        </is>
      </c>
      <c r="E4" s="78" t="inlineStr">
        <is>
          <t>Ár szint</t>
        </is>
      </c>
      <c r="F4" s="78" t="inlineStr">
        <is>
          <t>Értékelés</t>
        </is>
      </c>
      <c r="G4" s="78" t="inlineStr">
        <is>
          <t>Megjegyzés</t>
        </is>
      </c>
    </row>
    <row r="5">
      <c r="A5" s="95" t="n">
        <v>1</v>
      </c>
      <c r="B5" s="74" t="inlineStr">
        <is>
          <t>Masterfield</t>
        </is>
      </c>
      <c r="C5" s="74" t="inlineStr">
        <is>
          <t>masterfield.hu</t>
        </is>
      </c>
      <c r="D5" s="74" t="inlineStr">
        <is>
          <t>ITIL, PRINCE2, AWS, Azure, Power BI, Copilot, PMP</t>
        </is>
      </c>
      <c r="E5" s="74" t="inlineStr">
        <is>
          <t>Közepes-Magas</t>
        </is>
      </c>
      <c r="F5" s="74" t="inlineStr">
        <is>
          <t>★★★★☆</t>
        </is>
      </c>
      <c r="G5" s="74" t="inlineStr">
        <is>
          <t>Legszélesebb portfólió Magyarországon</t>
        </is>
      </c>
    </row>
    <row r="6">
      <c r="A6" s="96" t="n">
        <v>2</v>
      </c>
      <c r="B6" s="75" t="inlineStr">
        <is>
          <t>Training360</t>
        </is>
      </c>
      <c r="C6" s="75" t="inlineStr">
        <is>
          <t>training360.com</t>
        </is>
      </c>
      <c r="D6" s="75" t="inlineStr">
        <is>
          <t>ITIL, PM, Agile, Power BI, Python, DevOps, 300+ tantermi + 800+ e-learning</t>
        </is>
      </c>
      <c r="E6" s="75" t="inlineStr">
        <is>
          <t>Közepes</t>
        </is>
      </c>
      <c r="F6" s="75" t="inlineStr">
        <is>
          <t>★★★★☆</t>
        </is>
      </c>
      <c r="G6" s="75" t="inlineStr">
        <is>
          <t>Online és tantermi egyaránt</t>
        </is>
      </c>
    </row>
    <row r="7">
      <c r="A7" s="95" t="n">
        <v>3</v>
      </c>
      <c r="B7" s="74" t="inlineStr">
        <is>
          <t>SZÁMALK</t>
        </is>
      </c>
      <c r="C7" s="74" t="inlineStr">
        <is>
          <t>szamalk.hu</t>
        </is>
      </c>
      <c r="D7" s="74" t="inlineStr">
        <is>
          <t>DevOps, Copilot, Kubernetes, ITIL, programozás</t>
        </is>
      </c>
      <c r="E7" s="74" t="inlineStr">
        <is>
          <t>Közepes</t>
        </is>
      </c>
      <c r="F7" s="74" t="inlineStr">
        <is>
          <t>★★★☆☆</t>
        </is>
      </c>
      <c r="G7" s="74" t="inlineStr">
        <is>
          <t>Hagyományos IT képzőhely</t>
        </is>
      </c>
    </row>
    <row r="8">
      <c r="A8" s="96" t="n">
        <v>4</v>
      </c>
      <c r="B8" s="75" t="inlineStr">
        <is>
          <t>NobleProg</t>
        </is>
      </c>
      <c r="C8" s="75" t="inlineStr">
        <is>
          <t>nobleprog.hu</t>
        </is>
      </c>
      <c r="D8" s="75" t="inlineStr">
        <is>
          <t>LangChain, n8n, Terraform, K8s, AI/ML, egyedi képzés</t>
        </is>
      </c>
      <c r="E8" s="75" t="inlineStr">
        <is>
          <t>Magas</t>
        </is>
      </c>
      <c r="F8" s="75" t="inlineStr">
        <is>
          <t>★★★★☆</t>
        </is>
      </c>
      <c r="G8" s="75" t="inlineStr">
        <is>
          <t>Nemzetközi, egyedi árazás, csoportos kedvezmény</t>
        </is>
      </c>
    </row>
    <row r="9">
      <c r="A9" s="95" t="n">
        <v>5</v>
      </c>
      <c r="B9" s="74" t="inlineStr">
        <is>
          <t>Ruander</t>
        </is>
      </c>
      <c r="C9" s="74" t="inlineStr">
        <is>
          <t>ruander.hu</t>
        </is>
      </c>
      <c r="D9" s="74" t="inlineStr">
        <is>
          <t>ISTQB, AI tesztelés, QA képzések (49k–790k Ft)</t>
        </is>
      </c>
      <c r="E9" s="74" t="inlineStr">
        <is>
          <t>Közepes</t>
        </is>
      </c>
      <c r="F9" s="74" t="inlineStr">
        <is>
          <t>★★★★★</t>
        </is>
      </c>
      <c r="G9" s="74" t="inlineStr">
        <is>
          <t>ISTQB specialista, kiváló tesztelő képzések</t>
        </is>
      </c>
    </row>
    <row r="10">
      <c r="A10" s="96" t="n">
        <v>6</v>
      </c>
      <c r="B10" s="75" t="inlineStr">
        <is>
          <t>ISACA Budapest Chapter</t>
        </is>
      </c>
      <c r="C10" s="75" t="inlineStr">
        <is>
          <t>isaca.org/budapest</t>
        </is>
      </c>
      <c r="D10" s="75" t="inlineStr">
        <is>
          <t>CRISC, CISA, COBIT, IT audit (235k–345k Ft)</t>
        </is>
      </c>
      <c r="E10" s="75" t="inlineStr">
        <is>
          <t>Közepes</t>
        </is>
      </c>
      <c r="F10" s="75" t="inlineStr">
        <is>
          <t>★★★★☆</t>
        </is>
      </c>
      <c r="G10" s="75" t="inlineStr">
        <is>
          <t>ISACA hivatalos felkészítő</t>
        </is>
      </c>
    </row>
    <row r="11">
      <c r="A11" s="95" t="n">
        <v>7</v>
      </c>
      <c r="B11" s="74" t="inlineStr">
        <is>
          <t>IQEDU</t>
        </is>
      </c>
      <c r="C11" s="74" t="inlineStr">
        <is>
          <t>iqedu.hu</t>
        </is>
      </c>
      <c r="D11" s="74" t="inlineStr">
        <is>
          <t>Microsoft cert, ServiceNow, ITIL</t>
        </is>
      </c>
      <c r="E11" s="74" t="inlineStr">
        <is>
          <t>Közepes</t>
        </is>
      </c>
      <c r="F11" s="74" t="inlineStr">
        <is>
          <t>★★★☆☆</t>
        </is>
      </c>
      <c r="G11" s="74" t="inlineStr">
        <is>
          <t>Microsoft és ServiceNow partner</t>
        </is>
      </c>
    </row>
    <row r="12">
      <c r="A12" s="96" t="n">
        <v>8</v>
      </c>
      <c r="B12" s="75" t="inlineStr">
        <is>
          <t>Bdat.ACADEMY</t>
        </is>
      </c>
      <c r="C12" s="75" t="inlineStr">
        <is>
          <t>bdat.academy</t>
        </is>
      </c>
      <c r="D12" s="75" t="inlineStr">
        <is>
          <t>TOGAF (egyetlen hivatalos képző Mo-on)</t>
        </is>
      </c>
      <c r="E12" s="75" t="inlineStr">
        <is>
          <t>Magas</t>
        </is>
      </c>
      <c r="F12" s="75" t="inlineStr">
        <is>
          <t>★★★★★</t>
        </is>
      </c>
      <c r="G12" s="75" t="inlineStr">
        <is>
          <t>TOGAF akkreditált képzőközpont</t>
        </is>
      </c>
    </row>
    <row r="13">
      <c r="A13" s="95" t="n">
        <v>9</v>
      </c>
      <c r="B13" s="74" t="inlineStr">
        <is>
          <t>ProMan Consulting</t>
        </is>
      </c>
      <c r="C13" s="74" t="inlineStr">
        <is>
          <t>proman.hu</t>
        </is>
      </c>
      <c r="D13" s="74" t="inlineStr">
        <is>
          <t>Scrum, SAFe, Agile coaching, Kanban</t>
        </is>
      </c>
      <c r="E13" s="74" t="inlineStr">
        <is>
          <t>Közepes</t>
        </is>
      </c>
      <c r="F13" s="74" t="inlineStr">
        <is>
          <t>★★★★☆</t>
        </is>
      </c>
      <c r="G13" s="74" t="inlineStr">
        <is>
          <t>Agile és PM specialista</t>
        </is>
      </c>
    </row>
    <row r="14">
      <c r="A14" s="96" t="n">
        <v>10</v>
      </c>
      <c r="B14" s="75" t="inlineStr">
        <is>
          <t>HWSW</t>
        </is>
      </c>
      <c r="C14" s="75" t="inlineStr">
        <is>
          <t>hwsw.hu/tanfolyamok</t>
        </is>
      </c>
      <c r="D14" s="75" t="inlineStr">
        <is>
          <t>AI Engineering, Terraform, CI/CD, Python (129k–169k Ft)</t>
        </is>
      </c>
      <c r="E14" s="75" t="inlineStr">
        <is>
          <t>Alacsony-Közepes</t>
        </is>
      </c>
      <c r="F14" s="75" t="inlineStr">
        <is>
          <t>★★★★☆</t>
        </is>
      </c>
      <c r="G14" s="75" t="inlineStr">
        <is>
          <t>Fejlesztői közösség, jó ár-érték</t>
        </is>
      </c>
    </row>
    <row r="15">
      <c r="A15" s="95" t="n">
        <v>11</v>
      </c>
      <c r="B15" s="74" t="inlineStr">
        <is>
          <t>CUBIX</t>
        </is>
      </c>
      <c r="C15" s="74" t="inlineStr">
        <is>
          <t>cubixedu.com</t>
        </is>
      </c>
      <c r="D15" s="74" t="inlineStr">
        <is>
          <t>Data Engineer, ML, Prompt Engineering, Python</t>
        </is>
      </c>
      <c r="E15" s="74" t="inlineStr">
        <is>
          <t>Közepes</t>
        </is>
      </c>
      <c r="F15" s="74" t="inlineStr">
        <is>
          <t>★★★☆☆</t>
        </is>
      </c>
      <c r="G15" s="74" t="inlineStr">
        <is>
          <t>Data és AI fókusz</t>
        </is>
      </c>
    </row>
    <row r="16">
      <c r="A16" s="96" t="n">
        <v>12</v>
      </c>
      <c r="B16" s="75" t="inlineStr">
        <is>
          <t>euzert.hu</t>
        </is>
      </c>
      <c r="C16" s="75" t="inlineStr">
        <is>
          <t>euzert.hu</t>
        </is>
      </c>
      <c r="D16" s="75" t="inlineStr">
        <is>
          <t>Azure, ISO 42001, ISO 27001, cloud security</t>
        </is>
      </c>
      <c r="E16" s="75" t="inlineStr">
        <is>
          <t>Közepes-Magas</t>
        </is>
      </c>
      <c r="F16" s="75" t="inlineStr">
        <is>
          <t>★★★☆☆</t>
        </is>
      </c>
      <c r="G16" s="75" t="inlineStr">
        <is>
          <t>ISO és cloud cert specialista</t>
        </is>
      </c>
    </row>
    <row r="17">
      <c r="A17" s="95" t="n">
        <v>13</v>
      </c>
      <c r="B17" s="74" t="inlineStr">
        <is>
          <t>TesterLab</t>
        </is>
      </c>
      <c r="C17" s="74" t="inlineStr">
        <is>
          <t>testerlab.hu</t>
        </is>
      </c>
      <c r="D17" s="74" t="inlineStr">
        <is>
          <t>ISTQB self-paced (85k Ft)</t>
        </is>
      </c>
      <c r="E17" s="74" t="inlineStr">
        <is>
          <t>Alacsony</t>
        </is>
      </c>
      <c r="F17" s="74" t="inlineStr">
        <is>
          <t>★★★☆☆</t>
        </is>
      </c>
      <c r="G17" s="74" t="inlineStr">
        <is>
          <t>Self-paced ISTQB felkészítő</t>
        </is>
      </c>
    </row>
    <row r="18">
      <c r="A18" s="96" t="n">
        <v>14</v>
      </c>
      <c r="B18" s="75" t="inlineStr">
        <is>
          <t>TeaHouse Consulting</t>
        </is>
      </c>
      <c r="C18" s="75" t="inlineStr">
        <is>
          <t>teahouse.hu</t>
        </is>
      </c>
      <c r="D18" s="75" t="inlineStr">
        <is>
          <t>Vállalati AI/ChatGPT on-site képzés</t>
        </is>
      </c>
      <c r="E18" s="75" t="inlineStr">
        <is>
          <t>Egyedi</t>
        </is>
      </c>
      <c r="F18" s="75" t="inlineStr">
        <is>
          <t>★★★☆☆</t>
        </is>
      </c>
      <c r="G18" s="75" t="inlineStr">
        <is>
          <t>Testreszabott vállalati képzés</t>
        </is>
      </c>
    </row>
    <row r="19">
      <c r="A19" s="95" t="n">
        <v>15</v>
      </c>
      <c r="B19" s="74" t="inlineStr">
        <is>
          <t>KÜRT Akadémia</t>
        </is>
      </c>
      <c r="C19" s="74" t="inlineStr">
        <is>
          <t>kurtakademia.hu</t>
        </is>
      </c>
      <c r="D19" s="74" t="inlineStr">
        <is>
          <t>Kiberbiztonság, GDPR, NIS2, DORA, AI security</t>
        </is>
      </c>
      <c r="E19" s="74" t="inlineStr">
        <is>
          <t>Közepes-Magas</t>
        </is>
      </c>
      <c r="F19" s="74" t="inlineStr">
        <is>
          <t>★★★★☆</t>
        </is>
      </c>
      <c r="G19" s="74" t="inlineStr">
        <is>
          <t>Kiberbiztonság és compliance specialista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2026-03-09T19:07:05Z</dcterms:created>
  <dcterms:modified xmlns:dcterms="http://purl.org/dc/terms/" xmlns:xsi="http://www.w3.org/2001/XMLSchema-instance" xsi:type="dcterms:W3CDTF">2026-03-10T15:47:14Z</dcterms:modified>
  <cp:lastModifiedBy>Kassai, Attila (Allianz Hungária Biztosító Zrt.)</cp:lastModifiedBy>
</cp:coreProperties>
</file>

<file path=docProps/custom.xml><?xml version="1.0" encoding="utf-8"?>
<Properties xmlns="http://schemas.openxmlformats.org/officeDocument/2006/custom-properties">
  <property name="MSIP_Label_863bc15e-e7bf-41c1-bdb3-03882d8a2e2c_Enabled" fmtid="{D5CDD505-2E9C-101B-9397-08002B2CF9AE}" pid="2">
    <vt:lpwstr xmlns:vt="http://schemas.openxmlformats.org/officeDocument/2006/docPropsVTypes">true</vt:lpwstr>
  </property>
  <property name="MSIP_Label_863bc15e-e7bf-41c1-bdb3-03882d8a2e2c_SetDate" fmtid="{D5CDD505-2E9C-101B-9397-08002B2CF9AE}" pid="3">
    <vt:lpwstr xmlns:vt="http://schemas.openxmlformats.org/officeDocument/2006/docPropsVTypes">2026-03-09T19:09:21Z</vt:lpwstr>
  </property>
  <property name="MSIP_Label_863bc15e-e7bf-41c1-bdb3-03882d8a2e2c_Method" fmtid="{D5CDD505-2E9C-101B-9397-08002B2CF9AE}" pid="4">
    <vt:lpwstr xmlns:vt="http://schemas.openxmlformats.org/officeDocument/2006/docPropsVTypes">Privileged</vt:lpwstr>
  </property>
  <property name="MSIP_Label_863bc15e-e7bf-41c1-bdb3-03882d8a2e2c_Name" fmtid="{D5CDD505-2E9C-101B-9397-08002B2CF9AE}" pid="5">
    <vt:lpwstr xmlns:vt="http://schemas.openxmlformats.org/officeDocument/2006/docPropsVTypes">863bc15e-e7bf-41c1-bdb3-03882d8a2e2c</vt:lpwstr>
  </property>
  <property name="MSIP_Label_863bc15e-e7bf-41c1-bdb3-03882d8a2e2c_SiteId" fmtid="{D5CDD505-2E9C-101B-9397-08002B2CF9AE}" pid="6">
    <vt:lpwstr xmlns:vt="http://schemas.openxmlformats.org/officeDocument/2006/docPropsVTypes">6e06e42d-6925-47c6-b9e7-9581c7ca302a</vt:lpwstr>
  </property>
  <property name="MSIP_Label_863bc15e-e7bf-41c1-bdb3-03882d8a2e2c_ActionId" fmtid="{D5CDD505-2E9C-101B-9397-08002B2CF9AE}" pid="7">
    <vt:lpwstr xmlns:vt="http://schemas.openxmlformats.org/officeDocument/2006/docPropsVTypes">da561f0e-8499-485f-8dfb-d16cfd5d118d</vt:lpwstr>
  </property>
  <property name="MSIP_Label_863bc15e-e7bf-41c1-bdb3-03882d8a2e2c_ContentBits" fmtid="{D5CDD505-2E9C-101B-9397-08002B2CF9AE}" pid="8">
    <vt:lpwstr xmlns:vt="http://schemas.openxmlformats.org/officeDocument/2006/docPropsVTypes">1</vt:lpwstr>
  </property>
  <property name="MSIP_Label_863bc15e-e7bf-41c1-bdb3-03882d8a2e2c_Tag" fmtid="{D5CDD505-2E9C-101B-9397-08002B2CF9AE}" pid="9">
    <vt:lpwstr xmlns:vt="http://schemas.openxmlformats.org/officeDocument/2006/docPropsVTypes">10, 0, 1, 1</vt:lpwstr>
  </property>
</Properties>
</file>